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d922d82204917af/Documents/Robotics/Arduino/libraries/JML_TFT_Interface/"/>
    </mc:Choice>
  </mc:AlternateContent>
  <xr:revisionPtr revIDLastSave="38" documentId="11_7D7D0BDDA4FBD238A0EB57DFDBECFADFDDB7D269" xr6:coauthVersionLast="47" xr6:coauthVersionMax="47" xr10:uidLastSave="{9F185A89-DD81-4F4B-8FB2-A79242C3427F}"/>
  <bookViews>
    <workbookView xWindow="-108" yWindow="-108" windowWidth="23256" windowHeight="12456" activeTab="1" xr2:uid="{00000000-000D-0000-FFFF-FFFF00000000}"/>
  </bookViews>
  <sheets>
    <sheet name="Sheet1" sheetId="1" r:id="rId1"/>
    <sheet name="Color" sheetId="2" r:id="rId2"/>
  </sheets>
  <definedNames>
    <definedName name="_xlnm._FilterDatabase" localSheetId="1" hidden="1">Color!$A$25:$X$165</definedName>
    <definedName name="Az_Beam_Width">Sheet1!$B$23</definedName>
    <definedName name="Duty_Cycle">Sheet1!$B$19</definedName>
    <definedName name="Jamming_Pulse_Density">Sheet1!$B$36</definedName>
    <definedName name="NFT">Sheet1!$B$46</definedName>
    <definedName name="NPI">Sheet1!$B$42</definedName>
    <definedName name="NPI_AFSIM">Sheet1!$B$38</definedName>
    <definedName name="NPI_Calc">Sheet1!$B$40</definedName>
    <definedName name="PRF">Sheet1!$B$14</definedName>
    <definedName name="PRI">Sheet1!$B$11</definedName>
    <definedName name="Pulses_Scan">Sheet1!$B$32</definedName>
    <definedName name="PW">Sheet1!$B$17</definedName>
    <definedName name="Round">Sheet1!$B$8</definedName>
    <definedName name="Scan_Rate">Sheet1!$B$28</definedName>
    <definedName name="Scan_Time">Sheet1!$B$25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65" i="2" l="1"/>
  <c r="M165" i="2" s="1"/>
  <c r="Q165" i="2" s="1"/>
  <c r="U165" i="2" s="1"/>
  <c r="H165" i="2"/>
  <c r="L165" i="2" s="1"/>
  <c r="P165" i="2" s="1"/>
  <c r="T165" i="2" s="1"/>
  <c r="G165" i="2"/>
  <c r="K165" i="2" s="1"/>
  <c r="O165" i="2" s="1"/>
  <c r="S165" i="2" s="1"/>
  <c r="I164" i="2"/>
  <c r="M164" i="2" s="1"/>
  <c r="Q164" i="2" s="1"/>
  <c r="U164" i="2" s="1"/>
  <c r="H164" i="2"/>
  <c r="L164" i="2" s="1"/>
  <c r="P164" i="2" s="1"/>
  <c r="T164" i="2" s="1"/>
  <c r="G164" i="2"/>
  <c r="K164" i="2" s="1"/>
  <c r="O164" i="2" s="1"/>
  <c r="S164" i="2" s="1"/>
  <c r="I163" i="2"/>
  <c r="M163" i="2" s="1"/>
  <c r="Q163" i="2" s="1"/>
  <c r="U163" i="2" s="1"/>
  <c r="H163" i="2"/>
  <c r="L163" i="2" s="1"/>
  <c r="P163" i="2" s="1"/>
  <c r="T163" i="2" s="1"/>
  <c r="G163" i="2"/>
  <c r="K163" i="2" s="1"/>
  <c r="O163" i="2" s="1"/>
  <c r="S163" i="2" s="1"/>
  <c r="I162" i="2"/>
  <c r="M162" i="2" s="1"/>
  <c r="Q162" i="2" s="1"/>
  <c r="U162" i="2" s="1"/>
  <c r="H162" i="2"/>
  <c r="L162" i="2" s="1"/>
  <c r="P162" i="2" s="1"/>
  <c r="T162" i="2" s="1"/>
  <c r="G162" i="2"/>
  <c r="K162" i="2" s="1"/>
  <c r="O162" i="2" s="1"/>
  <c r="S162" i="2" s="1"/>
  <c r="I161" i="2"/>
  <c r="M161" i="2" s="1"/>
  <c r="Q161" i="2" s="1"/>
  <c r="U161" i="2" s="1"/>
  <c r="H161" i="2"/>
  <c r="L161" i="2" s="1"/>
  <c r="P161" i="2" s="1"/>
  <c r="T161" i="2" s="1"/>
  <c r="G161" i="2"/>
  <c r="K161" i="2" s="1"/>
  <c r="O161" i="2" s="1"/>
  <c r="S161" i="2" s="1"/>
  <c r="I160" i="2"/>
  <c r="M160" i="2" s="1"/>
  <c r="Q160" i="2" s="1"/>
  <c r="U160" i="2" s="1"/>
  <c r="H160" i="2"/>
  <c r="L160" i="2" s="1"/>
  <c r="P160" i="2" s="1"/>
  <c r="T160" i="2" s="1"/>
  <c r="G160" i="2"/>
  <c r="K160" i="2" s="1"/>
  <c r="O160" i="2" s="1"/>
  <c r="S160" i="2" s="1"/>
  <c r="I159" i="2"/>
  <c r="M159" i="2" s="1"/>
  <c r="Q159" i="2" s="1"/>
  <c r="U159" i="2" s="1"/>
  <c r="H159" i="2"/>
  <c r="L159" i="2" s="1"/>
  <c r="P159" i="2" s="1"/>
  <c r="T159" i="2" s="1"/>
  <c r="G159" i="2"/>
  <c r="K159" i="2" s="1"/>
  <c r="O159" i="2" s="1"/>
  <c r="S159" i="2" s="1"/>
  <c r="I158" i="2"/>
  <c r="M158" i="2" s="1"/>
  <c r="Q158" i="2" s="1"/>
  <c r="U158" i="2" s="1"/>
  <c r="H158" i="2"/>
  <c r="L158" i="2" s="1"/>
  <c r="P158" i="2" s="1"/>
  <c r="T158" i="2" s="1"/>
  <c r="G158" i="2"/>
  <c r="K158" i="2" s="1"/>
  <c r="O158" i="2" s="1"/>
  <c r="S158" i="2" s="1"/>
  <c r="I157" i="2"/>
  <c r="M157" i="2" s="1"/>
  <c r="Q157" i="2" s="1"/>
  <c r="U157" i="2" s="1"/>
  <c r="H157" i="2"/>
  <c r="L157" i="2" s="1"/>
  <c r="P157" i="2" s="1"/>
  <c r="T157" i="2" s="1"/>
  <c r="G157" i="2"/>
  <c r="K157" i="2" s="1"/>
  <c r="O157" i="2" s="1"/>
  <c r="S157" i="2" s="1"/>
  <c r="I154" i="2"/>
  <c r="M154" i="2" s="1"/>
  <c r="Q154" i="2" s="1"/>
  <c r="U154" i="2" s="1"/>
  <c r="H154" i="2"/>
  <c r="L154" i="2" s="1"/>
  <c r="P154" i="2" s="1"/>
  <c r="T154" i="2" s="1"/>
  <c r="G154" i="2"/>
  <c r="K154" i="2" s="1"/>
  <c r="O154" i="2" s="1"/>
  <c r="S154" i="2" s="1"/>
  <c r="I146" i="2"/>
  <c r="M146" i="2" s="1"/>
  <c r="Q146" i="2" s="1"/>
  <c r="U146" i="2" s="1"/>
  <c r="H146" i="2"/>
  <c r="L146" i="2" s="1"/>
  <c r="P146" i="2" s="1"/>
  <c r="T146" i="2" s="1"/>
  <c r="G146" i="2"/>
  <c r="K146" i="2" s="1"/>
  <c r="O146" i="2" s="1"/>
  <c r="S146" i="2" s="1"/>
  <c r="I156" i="2"/>
  <c r="M156" i="2" s="1"/>
  <c r="Q156" i="2" s="1"/>
  <c r="U156" i="2" s="1"/>
  <c r="H156" i="2"/>
  <c r="L156" i="2" s="1"/>
  <c r="P156" i="2" s="1"/>
  <c r="T156" i="2" s="1"/>
  <c r="G156" i="2"/>
  <c r="K156" i="2" s="1"/>
  <c r="O156" i="2" s="1"/>
  <c r="S156" i="2" s="1"/>
  <c r="I155" i="2"/>
  <c r="M155" i="2" s="1"/>
  <c r="Q155" i="2" s="1"/>
  <c r="U155" i="2" s="1"/>
  <c r="H155" i="2"/>
  <c r="L155" i="2" s="1"/>
  <c r="P155" i="2" s="1"/>
  <c r="T155" i="2" s="1"/>
  <c r="G155" i="2"/>
  <c r="K155" i="2" s="1"/>
  <c r="O155" i="2" s="1"/>
  <c r="S155" i="2" s="1"/>
  <c r="I153" i="2"/>
  <c r="M153" i="2" s="1"/>
  <c r="Q153" i="2" s="1"/>
  <c r="U153" i="2" s="1"/>
  <c r="H153" i="2"/>
  <c r="L153" i="2" s="1"/>
  <c r="P153" i="2" s="1"/>
  <c r="T153" i="2" s="1"/>
  <c r="G153" i="2"/>
  <c r="K153" i="2" s="1"/>
  <c r="O153" i="2" s="1"/>
  <c r="S153" i="2" s="1"/>
  <c r="I152" i="2"/>
  <c r="M152" i="2" s="1"/>
  <c r="Q152" i="2" s="1"/>
  <c r="U152" i="2" s="1"/>
  <c r="H152" i="2"/>
  <c r="L152" i="2" s="1"/>
  <c r="P152" i="2" s="1"/>
  <c r="T152" i="2" s="1"/>
  <c r="G152" i="2"/>
  <c r="K152" i="2" s="1"/>
  <c r="O152" i="2" s="1"/>
  <c r="S152" i="2" s="1"/>
  <c r="I151" i="2"/>
  <c r="M151" i="2" s="1"/>
  <c r="Q151" i="2" s="1"/>
  <c r="U151" i="2" s="1"/>
  <c r="H151" i="2"/>
  <c r="L151" i="2" s="1"/>
  <c r="P151" i="2" s="1"/>
  <c r="T151" i="2" s="1"/>
  <c r="G151" i="2"/>
  <c r="K151" i="2" s="1"/>
  <c r="O151" i="2" s="1"/>
  <c r="S151" i="2" s="1"/>
  <c r="I150" i="2"/>
  <c r="M150" i="2" s="1"/>
  <c r="Q150" i="2" s="1"/>
  <c r="U150" i="2" s="1"/>
  <c r="H150" i="2"/>
  <c r="L150" i="2" s="1"/>
  <c r="P150" i="2" s="1"/>
  <c r="T150" i="2" s="1"/>
  <c r="G150" i="2"/>
  <c r="K150" i="2" s="1"/>
  <c r="O150" i="2" s="1"/>
  <c r="S150" i="2" s="1"/>
  <c r="I149" i="2"/>
  <c r="M149" i="2" s="1"/>
  <c r="Q149" i="2" s="1"/>
  <c r="U149" i="2" s="1"/>
  <c r="H149" i="2"/>
  <c r="L149" i="2" s="1"/>
  <c r="P149" i="2" s="1"/>
  <c r="T149" i="2" s="1"/>
  <c r="G149" i="2"/>
  <c r="K149" i="2" s="1"/>
  <c r="O149" i="2" s="1"/>
  <c r="S149" i="2" s="1"/>
  <c r="I148" i="2"/>
  <c r="M148" i="2" s="1"/>
  <c r="Q148" i="2" s="1"/>
  <c r="U148" i="2" s="1"/>
  <c r="H148" i="2"/>
  <c r="L148" i="2" s="1"/>
  <c r="P148" i="2" s="1"/>
  <c r="T148" i="2" s="1"/>
  <c r="G148" i="2"/>
  <c r="K148" i="2" s="1"/>
  <c r="O148" i="2" s="1"/>
  <c r="S148" i="2" s="1"/>
  <c r="I147" i="2"/>
  <c r="M147" i="2" s="1"/>
  <c r="Q147" i="2" s="1"/>
  <c r="U147" i="2" s="1"/>
  <c r="H147" i="2"/>
  <c r="L147" i="2" s="1"/>
  <c r="P147" i="2" s="1"/>
  <c r="T147" i="2" s="1"/>
  <c r="G147" i="2"/>
  <c r="K147" i="2" s="1"/>
  <c r="O147" i="2" s="1"/>
  <c r="S147" i="2" s="1"/>
  <c r="I145" i="2"/>
  <c r="M145" i="2" s="1"/>
  <c r="Q145" i="2" s="1"/>
  <c r="U145" i="2" s="1"/>
  <c r="H145" i="2"/>
  <c r="L145" i="2" s="1"/>
  <c r="P145" i="2" s="1"/>
  <c r="T145" i="2" s="1"/>
  <c r="G145" i="2"/>
  <c r="K145" i="2" s="1"/>
  <c r="O145" i="2" s="1"/>
  <c r="S145" i="2" s="1"/>
  <c r="I144" i="2"/>
  <c r="M144" i="2" s="1"/>
  <c r="Q144" i="2" s="1"/>
  <c r="U144" i="2" s="1"/>
  <c r="H144" i="2"/>
  <c r="L144" i="2" s="1"/>
  <c r="P144" i="2" s="1"/>
  <c r="T144" i="2" s="1"/>
  <c r="G144" i="2"/>
  <c r="K144" i="2" s="1"/>
  <c r="O144" i="2" s="1"/>
  <c r="S144" i="2" s="1"/>
  <c r="I143" i="2"/>
  <c r="M143" i="2" s="1"/>
  <c r="Q143" i="2" s="1"/>
  <c r="U143" i="2" s="1"/>
  <c r="H143" i="2"/>
  <c r="L143" i="2" s="1"/>
  <c r="P143" i="2" s="1"/>
  <c r="T143" i="2" s="1"/>
  <c r="G143" i="2"/>
  <c r="K143" i="2" s="1"/>
  <c r="O143" i="2" s="1"/>
  <c r="S143" i="2" s="1"/>
  <c r="I142" i="2"/>
  <c r="M142" i="2" s="1"/>
  <c r="Q142" i="2" s="1"/>
  <c r="U142" i="2" s="1"/>
  <c r="H142" i="2"/>
  <c r="L142" i="2" s="1"/>
  <c r="P142" i="2" s="1"/>
  <c r="T142" i="2" s="1"/>
  <c r="G142" i="2"/>
  <c r="K142" i="2" s="1"/>
  <c r="O142" i="2" s="1"/>
  <c r="S142" i="2" s="1"/>
  <c r="I141" i="2"/>
  <c r="M141" i="2" s="1"/>
  <c r="Q141" i="2" s="1"/>
  <c r="U141" i="2" s="1"/>
  <c r="H141" i="2"/>
  <c r="L141" i="2" s="1"/>
  <c r="P141" i="2" s="1"/>
  <c r="T141" i="2" s="1"/>
  <c r="G141" i="2"/>
  <c r="K141" i="2" s="1"/>
  <c r="O141" i="2" s="1"/>
  <c r="S141" i="2" s="1"/>
  <c r="I140" i="2"/>
  <c r="M140" i="2" s="1"/>
  <c r="Q140" i="2" s="1"/>
  <c r="U140" i="2" s="1"/>
  <c r="H140" i="2"/>
  <c r="L140" i="2" s="1"/>
  <c r="P140" i="2" s="1"/>
  <c r="T140" i="2" s="1"/>
  <c r="G140" i="2"/>
  <c r="K140" i="2" s="1"/>
  <c r="O140" i="2" s="1"/>
  <c r="S140" i="2" s="1"/>
  <c r="I139" i="2"/>
  <c r="M139" i="2" s="1"/>
  <c r="Q139" i="2" s="1"/>
  <c r="U139" i="2" s="1"/>
  <c r="H139" i="2"/>
  <c r="L139" i="2" s="1"/>
  <c r="P139" i="2" s="1"/>
  <c r="T139" i="2" s="1"/>
  <c r="G139" i="2"/>
  <c r="K139" i="2" s="1"/>
  <c r="O139" i="2" s="1"/>
  <c r="S139" i="2" s="1"/>
  <c r="I138" i="2"/>
  <c r="M138" i="2" s="1"/>
  <c r="Q138" i="2" s="1"/>
  <c r="U138" i="2" s="1"/>
  <c r="H138" i="2"/>
  <c r="L138" i="2" s="1"/>
  <c r="P138" i="2" s="1"/>
  <c r="T138" i="2" s="1"/>
  <c r="G138" i="2"/>
  <c r="K138" i="2" s="1"/>
  <c r="O138" i="2" s="1"/>
  <c r="S138" i="2" s="1"/>
  <c r="I137" i="2"/>
  <c r="M137" i="2" s="1"/>
  <c r="Q137" i="2" s="1"/>
  <c r="U137" i="2" s="1"/>
  <c r="H137" i="2"/>
  <c r="L137" i="2" s="1"/>
  <c r="P137" i="2" s="1"/>
  <c r="T137" i="2" s="1"/>
  <c r="G137" i="2"/>
  <c r="K137" i="2" s="1"/>
  <c r="O137" i="2" s="1"/>
  <c r="S137" i="2" s="1"/>
  <c r="I136" i="2"/>
  <c r="M136" i="2" s="1"/>
  <c r="Q136" i="2" s="1"/>
  <c r="U136" i="2" s="1"/>
  <c r="H136" i="2"/>
  <c r="L136" i="2" s="1"/>
  <c r="P136" i="2" s="1"/>
  <c r="T136" i="2" s="1"/>
  <c r="G136" i="2"/>
  <c r="K136" i="2" s="1"/>
  <c r="O136" i="2" s="1"/>
  <c r="S136" i="2" s="1"/>
  <c r="I135" i="2"/>
  <c r="M135" i="2" s="1"/>
  <c r="Q135" i="2" s="1"/>
  <c r="U135" i="2" s="1"/>
  <c r="H135" i="2"/>
  <c r="L135" i="2" s="1"/>
  <c r="P135" i="2" s="1"/>
  <c r="T135" i="2" s="1"/>
  <c r="G135" i="2"/>
  <c r="K135" i="2" s="1"/>
  <c r="O135" i="2" s="1"/>
  <c r="S135" i="2" s="1"/>
  <c r="I134" i="2"/>
  <c r="M134" i="2" s="1"/>
  <c r="Q134" i="2" s="1"/>
  <c r="U134" i="2" s="1"/>
  <c r="H134" i="2"/>
  <c r="L134" i="2" s="1"/>
  <c r="P134" i="2" s="1"/>
  <c r="T134" i="2" s="1"/>
  <c r="G134" i="2"/>
  <c r="K134" i="2" s="1"/>
  <c r="O134" i="2" s="1"/>
  <c r="S134" i="2" s="1"/>
  <c r="I133" i="2"/>
  <c r="M133" i="2" s="1"/>
  <c r="Q133" i="2" s="1"/>
  <c r="U133" i="2" s="1"/>
  <c r="H133" i="2"/>
  <c r="L133" i="2" s="1"/>
  <c r="P133" i="2" s="1"/>
  <c r="T133" i="2" s="1"/>
  <c r="G133" i="2"/>
  <c r="K133" i="2" s="1"/>
  <c r="O133" i="2" s="1"/>
  <c r="S133" i="2" s="1"/>
  <c r="I132" i="2"/>
  <c r="M132" i="2" s="1"/>
  <c r="Q132" i="2" s="1"/>
  <c r="U132" i="2" s="1"/>
  <c r="H132" i="2"/>
  <c r="L132" i="2" s="1"/>
  <c r="P132" i="2" s="1"/>
  <c r="T132" i="2" s="1"/>
  <c r="G132" i="2"/>
  <c r="K132" i="2" s="1"/>
  <c r="O132" i="2" s="1"/>
  <c r="S132" i="2" s="1"/>
  <c r="I131" i="2"/>
  <c r="M131" i="2" s="1"/>
  <c r="Q131" i="2" s="1"/>
  <c r="U131" i="2" s="1"/>
  <c r="H131" i="2"/>
  <c r="L131" i="2" s="1"/>
  <c r="P131" i="2" s="1"/>
  <c r="T131" i="2" s="1"/>
  <c r="G131" i="2"/>
  <c r="K131" i="2" s="1"/>
  <c r="O131" i="2" s="1"/>
  <c r="S131" i="2" s="1"/>
  <c r="I130" i="2"/>
  <c r="M130" i="2" s="1"/>
  <c r="Q130" i="2" s="1"/>
  <c r="U130" i="2" s="1"/>
  <c r="H130" i="2"/>
  <c r="L130" i="2" s="1"/>
  <c r="P130" i="2" s="1"/>
  <c r="T130" i="2" s="1"/>
  <c r="G130" i="2"/>
  <c r="K130" i="2" s="1"/>
  <c r="O130" i="2" s="1"/>
  <c r="S130" i="2" s="1"/>
  <c r="I129" i="2"/>
  <c r="M129" i="2" s="1"/>
  <c r="Q129" i="2" s="1"/>
  <c r="U129" i="2" s="1"/>
  <c r="H129" i="2"/>
  <c r="L129" i="2" s="1"/>
  <c r="P129" i="2" s="1"/>
  <c r="T129" i="2" s="1"/>
  <c r="G129" i="2"/>
  <c r="K129" i="2" s="1"/>
  <c r="O129" i="2" s="1"/>
  <c r="S129" i="2" s="1"/>
  <c r="I128" i="2"/>
  <c r="M128" i="2" s="1"/>
  <c r="Q128" i="2" s="1"/>
  <c r="U128" i="2" s="1"/>
  <c r="H128" i="2"/>
  <c r="L128" i="2" s="1"/>
  <c r="P128" i="2" s="1"/>
  <c r="T128" i="2" s="1"/>
  <c r="G128" i="2"/>
  <c r="K128" i="2" s="1"/>
  <c r="O128" i="2" s="1"/>
  <c r="S128" i="2" s="1"/>
  <c r="I127" i="2"/>
  <c r="M127" i="2" s="1"/>
  <c r="Q127" i="2" s="1"/>
  <c r="U127" i="2" s="1"/>
  <c r="H127" i="2"/>
  <c r="L127" i="2" s="1"/>
  <c r="P127" i="2" s="1"/>
  <c r="T127" i="2" s="1"/>
  <c r="G127" i="2"/>
  <c r="K127" i="2" s="1"/>
  <c r="O127" i="2" s="1"/>
  <c r="S127" i="2" s="1"/>
  <c r="I126" i="2"/>
  <c r="M126" i="2" s="1"/>
  <c r="Q126" i="2" s="1"/>
  <c r="U126" i="2" s="1"/>
  <c r="H126" i="2"/>
  <c r="L126" i="2" s="1"/>
  <c r="P126" i="2" s="1"/>
  <c r="T126" i="2" s="1"/>
  <c r="G126" i="2"/>
  <c r="K126" i="2" s="1"/>
  <c r="O126" i="2" s="1"/>
  <c r="S126" i="2" s="1"/>
  <c r="I125" i="2"/>
  <c r="M125" i="2" s="1"/>
  <c r="Q125" i="2" s="1"/>
  <c r="U125" i="2" s="1"/>
  <c r="H125" i="2"/>
  <c r="L125" i="2" s="1"/>
  <c r="P125" i="2" s="1"/>
  <c r="T125" i="2" s="1"/>
  <c r="G125" i="2"/>
  <c r="K125" i="2" s="1"/>
  <c r="O125" i="2" s="1"/>
  <c r="S125" i="2" s="1"/>
  <c r="I124" i="2"/>
  <c r="M124" i="2" s="1"/>
  <c r="Q124" i="2" s="1"/>
  <c r="U124" i="2" s="1"/>
  <c r="H124" i="2"/>
  <c r="L124" i="2" s="1"/>
  <c r="P124" i="2" s="1"/>
  <c r="T124" i="2" s="1"/>
  <c r="G124" i="2"/>
  <c r="K124" i="2" s="1"/>
  <c r="O124" i="2" s="1"/>
  <c r="S124" i="2" s="1"/>
  <c r="I123" i="2"/>
  <c r="M123" i="2" s="1"/>
  <c r="Q123" i="2" s="1"/>
  <c r="U123" i="2" s="1"/>
  <c r="H123" i="2"/>
  <c r="L123" i="2" s="1"/>
  <c r="P123" i="2" s="1"/>
  <c r="T123" i="2" s="1"/>
  <c r="G123" i="2"/>
  <c r="K123" i="2" s="1"/>
  <c r="O123" i="2" s="1"/>
  <c r="S123" i="2" s="1"/>
  <c r="I122" i="2"/>
  <c r="M122" i="2" s="1"/>
  <c r="Q122" i="2" s="1"/>
  <c r="U122" i="2" s="1"/>
  <c r="H122" i="2"/>
  <c r="L122" i="2" s="1"/>
  <c r="P122" i="2" s="1"/>
  <c r="T122" i="2" s="1"/>
  <c r="G122" i="2"/>
  <c r="K122" i="2" s="1"/>
  <c r="O122" i="2" s="1"/>
  <c r="S122" i="2" s="1"/>
  <c r="I121" i="2"/>
  <c r="M121" i="2" s="1"/>
  <c r="Q121" i="2" s="1"/>
  <c r="U121" i="2" s="1"/>
  <c r="H121" i="2"/>
  <c r="L121" i="2" s="1"/>
  <c r="P121" i="2" s="1"/>
  <c r="T121" i="2" s="1"/>
  <c r="G121" i="2"/>
  <c r="K121" i="2" s="1"/>
  <c r="O121" i="2" s="1"/>
  <c r="S121" i="2" s="1"/>
  <c r="I120" i="2"/>
  <c r="M120" i="2" s="1"/>
  <c r="Q120" i="2" s="1"/>
  <c r="U120" i="2" s="1"/>
  <c r="H120" i="2"/>
  <c r="L120" i="2" s="1"/>
  <c r="P120" i="2" s="1"/>
  <c r="T120" i="2" s="1"/>
  <c r="G120" i="2"/>
  <c r="K120" i="2" s="1"/>
  <c r="O120" i="2" s="1"/>
  <c r="S120" i="2" s="1"/>
  <c r="I119" i="2"/>
  <c r="M119" i="2" s="1"/>
  <c r="Q119" i="2" s="1"/>
  <c r="U119" i="2" s="1"/>
  <c r="H119" i="2"/>
  <c r="L119" i="2" s="1"/>
  <c r="P119" i="2" s="1"/>
  <c r="T119" i="2" s="1"/>
  <c r="G119" i="2"/>
  <c r="K119" i="2" s="1"/>
  <c r="O119" i="2" s="1"/>
  <c r="S119" i="2" s="1"/>
  <c r="I118" i="2"/>
  <c r="M118" i="2" s="1"/>
  <c r="Q118" i="2" s="1"/>
  <c r="U118" i="2" s="1"/>
  <c r="H118" i="2"/>
  <c r="L118" i="2" s="1"/>
  <c r="P118" i="2" s="1"/>
  <c r="T118" i="2" s="1"/>
  <c r="G118" i="2"/>
  <c r="K118" i="2" s="1"/>
  <c r="O118" i="2" s="1"/>
  <c r="S118" i="2" s="1"/>
  <c r="I117" i="2"/>
  <c r="M117" i="2" s="1"/>
  <c r="Q117" i="2" s="1"/>
  <c r="U117" i="2" s="1"/>
  <c r="H117" i="2"/>
  <c r="L117" i="2" s="1"/>
  <c r="P117" i="2" s="1"/>
  <c r="T117" i="2" s="1"/>
  <c r="G117" i="2"/>
  <c r="K117" i="2" s="1"/>
  <c r="O117" i="2" s="1"/>
  <c r="S117" i="2" s="1"/>
  <c r="I116" i="2"/>
  <c r="M116" i="2" s="1"/>
  <c r="Q116" i="2" s="1"/>
  <c r="U116" i="2" s="1"/>
  <c r="H116" i="2"/>
  <c r="L116" i="2" s="1"/>
  <c r="P116" i="2" s="1"/>
  <c r="T116" i="2" s="1"/>
  <c r="G116" i="2"/>
  <c r="K116" i="2" s="1"/>
  <c r="O116" i="2" s="1"/>
  <c r="S116" i="2" s="1"/>
  <c r="I115" i="2"/>
  <c r="M115" i="2" s="1"/>
  <c r="Q115" i="2" s="1"/>
  <c r="U115" i="2" s="1"/>
  <c r="H115" i="2"/>
  <c r="L115" i="2" s="1"/>
  <c r="P115" i="2" s="1"/>
  <c r="T115" i="2" s="1"/>
  <c r="G115" i="2"/>
  <c r="K115" i="2" s="1"/>
  <c r="O115" i="2" s="1"/>
  <c r="S115" i="2" s="1"/>
  <c r="I114" i="2"/>
  <c r="M114" i="2" s="1"/>
  <c r="Q114" i="2" s="1"/>
  <c r="U114" i="2" s="1"/>
  <c r="H114" i="2"/>
  <c r="L114" i="2" s="1"/>
  <c r="P114" i="2" s="1"/>
  <c r="T114" i="2" s="1"/>
  <c r="G114" i="2"/>
  <c r="K114" i="2" s="1"/>
  <c r="O114" i="2" s="1"/>
  <c r="S114" i="2" s="1"/>
  <c r="I113" i="2"/>
  <c r="M113" i="2" s="1"/>
  <c r="Q113" i="2" s="1"/>
  <c r="U113" i="2" s="1"/>
  <c r="H113" i="2"/>
  <c r="L113" i="2" s="1"/>
  <c r="P113" i="2" s="1"/>
  <c r="T113" i="2" s="1"/>
  <c r="G113" i="2"/>
  <c r="K113" i="2" s="1"/>
  <c r="O113" i="2" s="1"/>
  <c r="S113" i="2" s="1"/>
  <c r="I112" i="2"/>
  <c r="M112" i="2" s="1"/>
  <c r="Q112" i="2" s="1"/>
  <c r="U112" i="2" s="1"/>
  <c r="H112" i="2"/>
  <c r="L112" i="2" s="1"/>
  <c r="P112" i="2" s="1"/>
  <c r="T112" i="2" s="1"/>
  <c r="G112" i="2"/>
  <c r="K112" i="2" s="1"/>
  <c r="O112" i="2" s="1"/>
  <c r="S112" i="2" s="1"/>
  <c r="I111" i="2"/>
  <c r="M111" i="2" s="1"/>
  <c r="Q111" i="2" s="1"/>
  <c r="U111" i="2" s="1"/>
  <c r="H111" i="2"/>
  <c r="L111" i="2" s="1"/>
  <c r="P111" i="2" s="1"/>
  <c r="T111" i="2" s="1"/>
  <c r="G111" i="2"/>
  <c r="K111" i="2" s="1"/>
  <c r="O111" i="2" s="1"/>
  <c r="S111" i="2" s="1"/>
  <c r="I110" i="2"/>
  <c r="M110" i="2" s="1"/>
  <c r="Q110" i="2" s="1"/>
  <c r="U110" i="2" s="1"/>
  <c r="H110" i="2"/>
  <c r="L110" i="2" s="1"/>
  <c r="P110" i="2" s="1"/>
  <c r="T110" i="2" s="1"/>
  <c r="G110" i="2"/>
  <c r="K110" i="2" s="1"/>
  <c r="O110" i="2" s="1"/>
  <c r="S110" i="2" s="1"/>
  <c r="I109" i="2"/>
  <c r="M109" i="2" s="1"/>
  <c r="Q109" i="2" s="1"/>
  <c r="U109" i="2" s="1"/>
  <c r="H109" i="2"/>
  <c r="L109" i="2" s="1"/>
  <c r="P109" i="2" s="1"/>
  <c r="T109" i="2" s="1"/>
  <c r="G109" i="2"/>
  <c r="K109" i="2" s="1"/>
  <c r="O109" i="2" s="1"/>
  <c r="S109" i="2" s="1"/>
  <c r="I108" i="2"/>
  <c r="M108" i="2" s="1"/>
  <c r="Q108" i="2" s="1"/>
  <c r="U108" i="2" s="1"/>
  <c r="H108" i="2"/>
  <c r="L108" i="2" s="1"/>
  <c r="P108" i="2" s="1"/>
  <c r="T108" i="2" s="1"/>
  <c r="G108" i="2"/>
  <c r="K108" i="2" s="1"/>
  <c r="O108" i="2" s="1"/>
  <c r="S108" i="2" s="1"/>
  <c r="I107" i="2"/>
  <c r="M107" i="2" s="1"/>
  <c r="Q107" i="2" s="1"/>
  <c r="U107" i="2" s="1"/>
  <c r="H107" i="2"/>
  <c r="L107" i="2" s="1"/>
  <c r="P107" i="2" s="1"/>
  <c r="T107" i="2" s="1"/>
  <c r="G107" i="2"/>
  <c r="K107" i="2" s="1"/>
  <c r="O107" i="2" s="1"/>
  <c r="S107" i="2" s="1"/>
  <c r="I106" i="2"/>
  <c r="M106" i="2" s="1"/>
  <c r="Q106" i="2" s="1"/>
  <c r="U106" i="2" s="1"/>
  <c r="H106" i="2"/>
  <c r="L106" i="2" s="1"/>
  <c r="P106" i="2" s="1"/>
  <c r="T106" i="2" s="1"/>
  <c r="G106" i="2"/>
  <c r="K106" i="2" s="1"/>
  <c r="O106" i="2" s="1"/>
  <c r="S106" i="2" s="1"/>
  <c r="I105" i="2"/>
  <c r="M105" i="2" s="1"/>
  <c r="Q105" i="2" s="1"/>
  <c r="U105" i="2" s="1"/>
  <c r="H105" i="2"/>
  <c r="L105" i="2" s="1"/>
  <c r="P105" i="2" s="1"/>
  <c r="T105" i="2" s="1"/>
  <c r="G105" i="2"/>
  <c r="K105" i="2" s="1"/>
  <c r="O105" i="2" s="1"/>
  <c r="S105" i="2" s="1"/>
  <c r="I104" i="2"/>
  <c r="M104" i="2" s="1"/>
  <c r="Q104" i="2" s="1"/>
  <c r="U104" i="2" s="1"/>
  <c r="H104" i="2"/>
  <c r="L104" i="2" s="1"/>
  <c r="P104" i="2" s="1"/>
  <c r="T104" i="2" s="1"/>
  <c r="G104" i="2"/>
  <c r="K104" i="2" s="1"/>
  <c r="O104" i="2" s="1"/>
  <c r="S104" i="2" s="1"/>
  <c r="I103" i="2"/>
  <c r="M103" i="2" s="1"/>
  <c r="Q103" i="2" s="1"/>
  <c r="U103" i="2" s="1"/>
  <c r="H103" i="2"/>
  <c r="L103" i="2" s="1"/>
  <c r="P103" i="2" s="1"/>
  <c r="T103" i="2" s="1"/>
  <c r="G103" i="2"/>
  <c r="K103" i="2" s="1"/>
  <c r="O103" i="2" s="1"/>
  <c r="S103" i="2" s="1"/>
  <c r="I102" i="2"/>
  <c r="M102" i="2" s="1"/>
  <c r="Q102" i="2" s="1"/>
  <c r="U102" i="2" s="1"/>
  <c r="H102" i="2"/>
  <c r="L102" i="2" s="1"/>
  <c r="P102" i="2" s="1"/>
  <c r="T102" i="2" s="1"/>
  <c r="G102" i="2"/>
  <c r="K102" i="2" s="1"/>
  <c r="O102" i="2" s="1"/>
  <c r="S102" i="2" s="1"/>
  <c r="I101" i="2"/>
  <c r="M101" i="2" s="1"/>
  <c r="Q101" i="2" s="1"/>
  <c r="U101" i="2" s="1"/>
  <c r="H101" i="2"/>
  <c r="L101" i="2" s="1"/>
  <c r="P101" i="2" s="1"/>
  <c r="T101" i="2" s="1"/>
  <c r="G101" i="2"/>
  <c r="K101" i="2" s="1"/>
  <c r="O101" i="2" s="1"/>
  <c r="S101" i="2" s="1"/>
  <c r="I100" i="2"/>
  <c r="M100" i="2" s="1"/>
  <c r="Q100" i="2" s="1"/>
  <c r="U100" i="2" s="1"/>
  <c r="H100" i="2"/>
  <c r="L100" i="2" s="1"/>
  <c r="P100" i="2" s="1"/>
  <c r="T100" i="2" s="1"/>
  <c r="G100" i="2"/>
  <c r="K100" i="2" s="1"/>
  <c r="O100" i="2" s="1"/>
  <c r="S100" i="2" s="1"/>
  <c r="I99" i="2"/>
  <c r="M99" i="2" s="1"/>
  <c r="Q99" i="2" s="1"/>
  <c r="U99" i="2" s="1"/>
  <c r="H99" i="2"/>
  <c r="L99" i="2" s="1"/>
  <c r="P99" i="2" s="1"/>
  <c r="T99" i="2" s="1"/>
  <c r="G99" i="2"/>
  <c r="K99" i="2" s="1"/>
  <c r="O99" i="2" s="1"/>
  <c r="S99" i="2" s="1"/>
  <c r="I98" i="2"/>
  <c r="M98" i="2" s="1"/>
  <c r="Q98" i="2" s="1"/>
  <c r="U98" i="2" s="1"/>
  <c r="H98" i="2"/>
  <c r="L98" i="2" s="1"/>
  <c r="P98" i="2" s="1"/>
  <c r="T98" i="2" s="1"/>
  <c r="G98" i="2"/>
  <c r="K98" i="2" s="1"/>
  <c r="O98" i="2" s="1"/>
  <c r="S98" i="2" s="1"/>
  <c r="I97" i="2"/>
  <c r="M97" i="2" s="1"/>
  <c r="Q97" i="2" s="1"/>
  <c r="U97" i="2" s="1"/>
  <c r="H97" i="2"/>
  <c r="L97" i="2" s="1"/>
  <c r="P97" i="2" s="1"/>
  <c r="T97" i="2" s="1"/>
  <c r="G97" i="2"/>
  <c r="K97" i="2" s="1"/>
  <c r="O97" i="2" s="1"/>
  <c r="S97" i="2" s="1"/>
  <c r="I96" i="2"/>
  <c r="M96" i="2" s="1"/>
  <c r="Q96" i="2" s="1"/>
  <c r="U96" i="2" s="1"/>
  <c r="H96" i="2"/>
  <c r="L96" i="2" s="1"/>
  <c r="P96" i="2" s="1"/>
  <c r="T96" i="2" s="1"/>
  <c r="G96" i="2"/>
  <c r="K96" i="2" s="1"/>
  <c r="O96" i="2" s="1"/>
  <c r="S96" i="2" s="1"/>
  <c r="I95" i="2"/>
  <c r="M95" i="2" s="1"/>
  <c r="Q95" i="2" s="1"/>
  <c r="U95" i="2" s="1"/>
  <c r="H95" i="2"/>
  <c r="L95" i="2" s="1"/>
  <c r="P95" i="2" s="1"/>
  <c r="T95" i="2" s="1"/>
  <c r="G95" i="2"/>
  <c r="K95" i="2" s="1"/>
  <c r="O95" i="2" s="1"/>
  <c r="S95" i="2" s="1"/>
  <c r="I94" i="2"/>
  <c r="M94" i="2" s="1"/>
  <c r="Q94" i="2" s="1"/>
  <c r="U94" i="2" s="1"/>
  <c r="H94" i="2"/>
  <c r="L94" i="2" s="1"/>
  <c r="P94" i="2" s="1"/>
  <c r="T94" i="2" s="1"/>
  <c r="G94" i="2"/>
  <c r="K94" i="2" s="1"/>
  <c r="O94" i="2" s="1"/>
  <c r="S94" i="2" s="1"/>
  <c r="I93" i="2"/>
  <c r="M93" i="2" s="1"/>
  <c r="Q93" i="2" s="1"/>
  <c r="U93" i="2" s="1"/>
  <c r="H93" i="2"/>
  <c r="L93" i="2" s="1"/>
  <c r="P93" i="2" s="1"/>
  <c r="T93" i="2" s="1"/>
  <c r="G93" i="2"/>
  <c r="K93" i="2" s="1"/>
  <c r="O93" i="2" s="1"/>
  <c r="S93" i="2" s="1"/>
  <c r="I92" i="2"/>
  <c r="M92" i="2" s="1"/>
  <c r="Q92" i="2" s="1"/>
  <c r="U92" i="2" s="1"/>
  <c r="H92" i="2"/>
  <c r="L92" i="2" s="1"/>
  <c r="P92" i="2" s="1"/>
  <c r="T92" i="2" s="1"/>
  <c r="G92" i="2"/>
  <c r="K92" i="2" s="1"/>
  <c r="O92" i="2" s="1"/>
  <c r="S92" i="2" s="1"/>
  <c r="I91" i="2"/>
  <c r="M91" i="2" s="1"/>
  <c r="Q91" i="2" s="1"/>
  <c r="U91" i="2" s="1"/>
  <c r="H91" i="2"/>
  <c r="L91" i="2" s="1"/>
  <c r="P91" i="2" s="1"/>
  <c r="T91" i="2" s="1"/>
  <c r="G91" i="2"/>
  <c r="K91" i="2" s="1"/>
  <c r="O91" i="2" s="1"/>
  <c r="S91" i="2" s="1"/>
  <c r="I90" i="2"/>
  <c r="M90" i="2" s="1"/>
  <c r="Q90" i="2" s="1"/>
  <c r="U90" i="2" s="1"/>
  <c r="H90" i="2"/>
  <c r="L90" i="2" s="1"/>
  <c r="P90" i="2" s="1"/>
  <c r="T90" i="2" s="1"/>
  <c r="G90" i="2"/>
  <c r="K90" i="2" s="1"/>
  <c r="O90" i="2" s="1"/>
  <c r="S90" i="2" s="1"/>
  <c r="I89" i="2"/>
  <c r="M89" i="2" s="1"/>
  <c r="Q89" i="2" s="1"/>
  <c r="U89" i="2" s="1"/>
  <c r="H89" i="2"/>
  <c r="L89" i="2" s="1"/>
  <c r="P89" i="2" s="1"/>
  <c r="T89" i="2" s="1"/>
  <c r="G89" i="2"/>
  <c r="K89" i="2" s="1"/>
  <c r="O89" i="2" s="1"/>
  <c r="S89" i="2" s="1"/>
  <c r="I88" i="2"/>
  <c r="M88" i="2" s="1"/>
  <c r="Q88" i="2" s="1"/>
  <c r="U88" i="2" s="1"/>
  <c r="H88" i="2"/>
  <c r="L88" i="2" s="1"/>
  <c r="P88" i="2" s="1"/>
  <c r="T88" i="2" s="1"/>
  <c r="G88" i="2"/>
  <c r="K88" i="2" s="1"/>
  <c r="O88" i="2" s="1"/>
  <c r="S88" i="2" s="1"/>
  <c r="I87" i="2"/>
  <c r="M87" i="2" s="1"/>
  <c r="Q87" i="2" s="1"/>
  <c r="U87" i="2" s="1"/>
  <c r="H87" i="2"/>
  <c r="L87" i="2" s="1"/>
  <c r="P87" i="2" s="1"/>
  <c r="T87" i="2" s="1"/>
  <c r="G87" i="2"/>
  <c r="K87" i="2" s="1"/>
  <c r="O87" i="2" s="1"/>
  <c r="S87" i="2" s="1"/>
  <c r="I86" i="2"/>
  <c r="M86" i="2" s="1"/>
  <c r="Q86" i="2" s="1"/>
  <c r="U86" i="2" s="1"/>
  <c r="H86" i="2"/>
  <c r="L86" i="2" s="1"/>
  <c r="P86" i="2" s="1"/>
  <c r="T86" i="2" s="1"/>
  <c r="G86" i="2"/>
  <c r="K86" i="2" s="1"/>
  <c r="O86" i="2" s="1"/>
  <c r="S86" i="2" s="1"/>
  <c r="I85" i="2"/>
  <c r="M85" i="2" s="1"/>
  <c r="Q85" i="2" s="1"/>
  <c r="U85" i="2" s="1"/>
  <c r="H85" i="2"/>
  <c r="L85" i="2" s="1"/>
  <c r="P85" i="2" s="1"/>
  <c r="T85" i="2" s="1"/>
  <c r="G85" i="2"/>
  <c r="K85" i="2" s="1"/>
  <c r="O85" i="2" s="1"/>
  <c r="S85" i="2" s="1"/>
  <c r="I84" i="2"/>
  <c r="M84" i="2" s="1"/>
  <c r="Q84" i="2" s="1"/>
  <c r="U84" i="2" s="1"/>
  <c r="H84" i="2"/>
  <c r="L84" i="2" s="1"/>
  <c r="P84" i="2" s="1"/>
  <c r="T84" i="2" s="1"/>
  <c r="G84" i="2"/>
  <c r="K84" i="2" s="1"/>
  <c r="O84" i="2" s="1"/>
  <c r="S84" i="2" s="1"/>
  <c r="I83" i="2"/>
  <c r="M83" i="2" s="1"/>
  <c r="Q83" i="2" s="1"/>
  <c r="U83" i="2" s="1"/>
  <c r="H83" i="2"/>
  <c r="L83" i="2" s="1"/>
  <c r="P83" i="2" s="1"/>
  <c r="T83" i="2" s="1"/>
  <c r="G83" i="2"/>
  <c r="K83" i="2" s="1"/>
  <c r="O83" i="2" s="1"/>
  <c r="S83" i="2" s="1"/>
  <c r="I82" i="2"/>
  <c r="M82" i="2" s="1"/>
  <c r="Q82" i="2" s="1"/>
  <c r="U82" i="2" s="1"/>
  <c r="H82" i="2"/>
  <c r="L82" i="2" s="1"/>
  <c r="P82" i="2" s="1"/>
  <c r="T82" i="2" s="1"/>
  <c r="G82" i="2"/>
  <c r="K82" i="2" s="1"/>
  <c r="O82" i="2" s="1"/>
  <c r="S82" i="2" s="1"/>
  <c r="I81" i="2"/>
  <c r="M81" i="2" s="1"/>
  <c r="Q81" i="2" s="1"/>
  <c r="U81" i="2" s="1"/>
  <c r="H81" i="2"/>
  <c r="L81" i="2" s="1"/>
  <c r="P81" i="2" s="1"/>
  <c r="T81" i="2" s="1"/>
  <c r="G81" i="2"/>
  <c r="K81" i="2" s="1"/>
  <c r="O81" i="2" s="1"/>
  <c r="S81" i="2" s="1"/>
  <c r="I80" i="2"/>
  <c r="M80" i="2" s="1"/>
  <c r="Q80" i="2" s="1"/>
  <c r="U80" i="2" s="1"/>
  <c r="H80" i="2"/>
  <c r="L80" i="2" s="1"/>
  <c r="P80" i="2" s="1"/>
  <c r="T80" i="2" s="1"/>
  <c r="G80" i="2"/>
  <c r="K80" i="2" s="1"/>
  <c r="O80" i="2" s="1"/>
  <c r="S80" i="2" s="1"/>
  <c r="I79" i="2"/>
  <c r="M79" i="2" s="1"/>
  <c r="Q79" i="2" s="1"/>
  <c r="U79" i="2" s="1"/>
  <c r="H79" i="2"/>
  <c r="L79" i="2" s="1"/>
  <c r="P79" i="2" s="1"/>
  <c r="T79" i="2" s="1"/>
  <c r="G79" i="2"/>
  <c r="K79" i="2" s="1"/>
  <c r="O79" i="2" s="1"/>
  <c r="S79" i="2" s="1"/>
  <c r="I78" i="2"/>
  <c r="M78" i="2" s="1"/>
  <c r="Q78" i="2" s="1"/>
  <c r="U78" i="2" s="1"/>
  <c r="H78" i="2"/>
  <c r="L78" i="2" s="1"/>
  <c r="P78" i="2" s="1"/>
  <c r="T78" i="2" s="1"/>
  <c r="G78" i="2"/>
  <c r="K78" i="2" s="1"/>
  <c r="O78" i="2" s="1"/>
  <c r="S78" i="2" s="1"/>
  <c r="I77" i="2"/>
  <c r="M77" i="2" s="1"/>
  <c r="Q77" i="2" s="1"/>
  <c r="U77" i="2" s="1"/>
  <c r="H77" i="2"/>
  <c r="L77" i="2" s="1"/>
  <c r="P77" i="2" s="1"/>
  <c r="T77" i="2" s="1"/>
  <c r="G77" i="2"/>
  <c r="K77" i="2" s="1"/>
  <c r="O77" i="2" s="1"/>
  <c r="S77" i="2" s="1"/>
  <c r="I76" i="2"/>
  <c r="M76" i="2" s="1"/>
  <c r="Q76" i="2" s="1"/>
  <c r="U76" i="2" s="1"/>
  <c r="H76" i="2"/>
  <c r="L76" i="2" s="1"/>
  <c r="P76" i="2" s="1"/>
  <c r="T76" i="2" s="1"/>
  <c r="G76" i="2"/>
  <c r="K76" i="2" s="1"/>
  <c r="O76" i="2" s="1"/>
  <c r="S76" i="2" s="1"/>
  <c r="I75" i="2"/>
  <c r="M75" i="2" s="1"/>
  <c r="Q75" i="2" s="1"/>
  <c r="U75" i="2" s="1"/>
  <c r="H75" i="2"/>
  <c r="L75" i="2" s="1"/>
  <c r="P75" i="2" s="1"/>
  <c r="T75" i="2" s="1"/>
  <c r="G75" i="2"/>
  <c r="K75" i="2" s="1"/>
  <c r="O75" i="2" s="1"/>
  <c r="S75" i="2" s="1"/>
  <c r="I74" i="2"/>
  <c r="M74" i="2" s="1"/>
  <c r="Q74" i="2" s="1"/>
  <c r="U74" i="2" s="1"/>
  <c r="H74" i="2"/>
  <c r="L74" i="2" s="1"/>
  <c r="P74" i="2" s="1"/>
  <c r="T74" i="2" s="1"/>
  <c r="G74" i="2"/>
  <c r="K74" i="2" s="1"/>
  <c r="O74" i="2" s="1"/>
  <c r="S74" i="2" s="1"/>
  <c r="I73" i="2"/>
  <c r="M73" i="2" s="1"/>
  <c r="Q73" i="2" s="1"/>
  <c r="U73" i="2" s="1"/>
  <c r="H73" i="2"/>
  <c r="L73" i="2" s="1"/>
  <c r="P73" i="2" s="1"/>
  <c r="T73" i="2" s="1"/>
  <c r="G73" i="2"/>
  <c r="K73" i="2" s="1"/>
  <c r="O73" i="2" s="1"/>
  <c r="S73" i="2" s="1"/>
  <c r="I72" i="2"/>
  <c r="M72" i="2" s="1"/>
  <c r="Q72" i="2" s="1"/>
  <c r="U72" i="2" s="1"/>
  <c r="H72" i="2"/>
  <c r="L72" i="2" s="1"/>
  <c r="P72" i="2" s="1"/>
  <c r="T72" i="2" s="1"/>
  <c r="G72" i="2"/>
  <c r="K72" i="2" s="1"/>
  <c r="O72" i="2" s="1"/>
  <c r="S72" i="2" s="1"/>
  <c r="I71" i="2"/>
  <c r="M71" i="2" s="1"/>
  <c r="Q71" i="2" s="1"/>
  <c r="U71" i="2" s="1"/>
  <c r="H71" i="2"/>
  <c r="L71" i="2" s="1"/>
  <c r="P71" i="2" s="1"/>
  <c r="T71" i="2" s="1"/>
  <c r="G71" i="2"/>
  <c r="K71" i="2" s="1"/>
  <c r="O71" i="2" s="1"/>
  <c r="S71" i="2" s="1"/>
  <c r="I70" i="2"/>
  <c r="M70" i="2" s="1"/>
  <c r="Q70" i="2" s="1"/>
  <c r="U70" i="2" s="1"/>
  <c r="H70" i="2"/>
  <c r="L70" i="2" s="1"/>
  <c r="P70" i="2" s="1"/>
  <c r="T70" i="2" s="1"/>
  <c r="G70" i="2"/>
  <c r="K70" i="2" s="1"/>
  <c r="O70" i="2" s="1"/>
  <c r="S70" i="2" s="1"/>
  <c r="I69" i="2"/>
  <c r="M69" i="2" s="1"/>
  <c r="Q69" i="2" s="1"/>
  <c r="U69" i="2" s="1"/>
  <c r="H69" i="2"/>
  <c r="L69" i="2" s="1"/>
  <c r="P69" i="2" s="1"/>
  <c r="T69" i="2" s="1"/>
  <c r="G69" i="2"/>
  <c r="K69" i="2" s="1"/>
  <c r="O69" i="2" s="1"/>
  <c r="S69" i="2" s="1"/>
  <c r="I68" i="2"/>
  <c r="M68" i="2" s="1"/>
  <c r="Q68" i="2" s="1"/>
  <c r="U68" i="2" s="1"/>
  <c r="H68" i="2"/>
  <c r="L68" i="2" s="1"/>
  <c r="P68" i="2" s="1"/>
  <c r="T68" i="2" s="1"/>
  <c r="G68" i="2"/>
  <c r="K68" i="2" s="1"/>
  <c r="O68" i="2" s="1"/>
  <c r="S68" i="2" s="1"/>
  <c r="I67" i="2"/>
  <c r="M67" i="2" s="1"/>
  <c r="Q67" i="2" s="1"/>
  <c r="U67" i="2" s="1"/>
  <c r="H67" i="2"/>
  <c r="L67" i="2" s="1"/>
  <c r="P67" i="2" s="1"/>
  <c r="T67" i="2" s="1"/>
  <c r="G67" i="2"/>
  <c r="K67" i="2" s="1"/>
  <c r="O67" i="2" s="1"/>
  <c r="S67" i="2" s="1"/>
  <c r="I66" i="2"/>
  <c r="M66" i="2" s="1"/>
  <c r="Q66" i="2" s="1"/>
  <c r="U66" i="2" s="1"/>
  <c r="H66" i="2"/>
  <c r="L66" i="2" s="1"/>
  <c r="P66" i="2" s="1"/>
  <c r="T66" i="2" s="1"/>
  <c r="G66" i="2"/>
  <c r="K66" i="2" s="1"/>
  <c r="O66" i="2" s="1"/>
  <c r="S66" i="2" s="1"/>
  <c r="I65" i="2"/>
  <c r="M65" i="2" s="1"/>
  <c r="Q65" i="2" s="1"/>
  <c r="U65" i="2" s="1"/>
  <c r="H65" i="2"/>
  <c r="L65" i="2" s="1"/>
  <c r="P65" i="2" s="1"/>
  <c r="T65" i="2" s="1"/>
  <c r="G65" i="2"/>
  <c r="K65" i="2" s="1"/>
  <c r="O65" i="2" s="1"/>
  <c r="S65" i="2" s="1"/>
  <c r="I64" i="2"/>
  <c r="M64" i="2" s="1"/>
  <c r="Q64" i="2" s="1"/>
  <c r="U64" i="2" s="1"/>
  <c r="H64" i="2"/>
  <c r="L64" i="2" s="1"/>
  <c r="P64" i="2" s="1"/>
  <c r="T64" i="2" s="1"/>
  <c r="G64" i="2"/>
  <c r="K64" i="2" s="1"/>
  <c r="O64" i="2" s="1"/>
  <c r="S64" i="2" s="1"/>
  <c r="I63" i="2"/>
  <c r="M63" i="2" s="1"/>
  <c r="Q63" i="2" s="1"/>
  <c r="U63" i="2" s="1"/>
  <c r="H63" i="2"/>
  <c r="L63" i="2" s="1"/>
  <c r="P63" i="2" s="1"/>
  <c r="T63" i="2" s="1"/>
  <c r="G63" i="2"/>
  <c r="K63" i="2" s="1"/>
  <c r="O63" i="2" s="1"/>
  <c r="S63" i="2" s="1"/>
  <c r="I62" i="2"/>
  <c r="M62" i="2" s="1"/>
  <c r="Q62" i="2" s="1"/>
  <c r="U62" i="2" s="1"/>
  <c r="H62" i="2"/>
  <c r="L62" i="2" s="1"/>
  <c r="P62" i="2" s="1"/>
  <c r="T62" i="2" s="1"/>
  <c r="G62" i="2"/>
  <c r="K62" i="2" s="1"/>
  <c r="O62" i="2" s="1"/>
  <c r="S62" i="2" s="1"/>
  <c r="I61" i="2"/>
  <c r="M61" i="2" s="1"/>
  <c r="Q61" i="2" s="1"/>
  <c r="U61" i="2" s="1"/>
  <c r="H61" i="2"/>
  <c r="L61" i="2" s="1"/>
  <c r="P61" i="2" s="1"/>
  <c r="T61" i="2" s="1"/>
  <c r="G61" i="2"/>
  <c r="K61" i="2" s="1"/>
  <c r="O61" i="2" s="1"/>
  <c r="S61" i="2" s="1"/>
  <c r="I60" i="2"/>
  <c r="M60" i="2" s="1"/>
  <c r="Q60" i="2" s="1"/>
  <c r="U60" i="2" s="1"/>
  <c r="H60" i="2"/>
  <c r="L60" i="2" s="1"/>
  <c r="P60" i="2" s="1"/>
  <c r="T60" i="2" s="1"/>
  <c r="G60" i="2"/>
  <c r="K60" i="2" s="1"/>
  <c r="O60" i="2" s="1"/>
  <c r="S60" i="2" s="1"/>
  <c r="I59" i="2"/>
  <c r="M59" i="2" s="1"/>
  <c r="Q59" i="2" s="1"/>
  <c r="U59" i="2" s="1"/>
  <c r="H59" i="2"/>
  <c r="L59" i="2" s="1"/>
  <c r="P59" i="2" s="1"/>
  <c r="T59" i="2" s="1"/>
  <c r="G59" i="2"/>
  <c r="K59" i="2" s="1"/>
  <c r="O59" i="2" s="1"/>
  <c r="S59" i="2" s="1"/>
  <c r="I58" i="2"/>
  <c r="M58" i="2" s="1"/>
  <c r="Q58" i="2" s="1"/>
  <c r="U58" i="2" s="1"/>
  <c r="H58" i="2"/>
  <c r="L58" i="2" s="1"/>
  <c r="P58" i="2" s="1"/>
  <c r="T58" i="2" s="1"/>
  <c r="G58" i="2"/>
  <c r="K58" i="2" s="1"/>
  <c r="O58" i="2" s="1"/>
  <c r="S58" i="2" s="1"/>
  <c r="I57" i="2"/>
  <c r="M57" i="2" s="1"/>
  <c r="Q57" i="2" s="1"/>
  <c r="U57" i="2" s="1"/>
  <c r="H57" i="2"/>
  <c r="L57" i="2" s="1"/>
  <c r="P57" i="2" s="1"/>
  <c r="T57" i="2" s="1"/>
  <c r="G57" i="2"/>
  <c r="K57" i="2" s="1"/>
  <c r="O57" i="2" s="1"/>
  <c r="S57" i="2" s="1"/>
  <c r="I56" i="2"/>
  <c r="M56" i="2" s="1"/>
  <c r="Q56" i="2" s="1"/>
  <c r="U56" i="2" s="1"/>
  <c r="H56" i="2"/>
  <c r="L56" i="2" s="1"/>
  <c r="P56" i="2" s="1"/>
  <c r="T56" i="2" s="1"/>
  <c r="G56" i="2"/>
  <c r="K56" i="2" s="1"/>
  <c r="O56" i="2" s="1"/>
  <c r="S56" i="2" s="1"/>
  <c r="I55" i="2"/>
  <c r="M55" i="2" s="1"/>
  <c r="Q55" i="2" s="1"/>
  <c r="U55" i="2" s="1"/>
  <c r="H55" i="2"/>
  <c r="L55" i="2" s="1"/>
  <c r="P55" i="2" s="1"/>
  <c r="T55" i="2" s="1"/>
  <c r="G55" i="2"/>
  <c r="K55" i="2" s="1"/>
  <c r="O55" i="2" s="1"/>
  <c r="S55" i="2" s="1"/>
  <c r="I54" i="2"/>
  <c r="M54" i="2" s="1"/>
  <c r="Q54" i="2" s="1"/>
  <c r="U54" i="2" s="1"/>
  <c r="H54" i="2"/>
  <c r="L54" i="2" s="1"/>
  <c r="P54" i="2" s="1"/>
  <c r="T54" i="2" s="1"/>
  <c r="G54" i="2"/>
  <c r="K54" i="2" s="1"/>
  <c r="O54" i="2" s="1"/>
  <c r="S54" i="2" s="1"/>
  <c r="I53" i="2"/>
  <c r="M53" i="2" s="1"/>
  <c r="Q53" i="2" s="1"/>
  <c r="U53" i="2" s="1"/>
  <c r="H53" i="2"/>
  <c r="L53" i="2" s="1"/>
  <c r="P53" i="2" s="1"/>
  <c r="T53" i="2" s="1"/>
  <c r="G53" i="2"/>
  <c r="K53" i="2" s="1"/>
  <c r="O53" i="2" s="1"/>
  <c r="S53" i="2" s="1"/>
  <c r="I52" i="2"/>
  <c r="M52" i="2" s="1"/>
  <c r="Q52" i="2" s="1"/>
  <c r="U52" i="2" s="1"/>
  <c r="H52" i="2"/>
  <c r="L52" i="2" s="1"/>
  <c r="P52" i="2" s="1"/>
  <c r="T52" i="2" s="1"/>
  <c r="G52" i="2"/>
  <c r="K52" i="2" s="1"/>
  <c r="O52" i="2" s="1"/>
  <c r="S52" i="2" s="1"/>
  <c r="I51" i="2"/>
  <c r="M51" i="2" s="1"/>
  <c r="Q51" i="2" s="1"/>
  <c r="U51" i="2" s="1"/>
  <c r="H51" i="2"/>
  <c r="L51" i="2" s="1"/>
  <c r="P51" i="2" s="1"/>
  <c r="T51" i="2" s="1"/>
  <c r="G51" i="2"/>
  <c r="K51" i="2" s="1"/>
  <c r="O51" i="2" s="1"/>
  <c r="S51" i="2" s="1"/>
  <c r="I50" i="2"/>
  <c r="M50" i="2" s="1"/>
  <c r="Q50" i="2" s="1"/>
  <c r="U50" i="2" s="1"/>
  <c r="H50" i="2"/>
  <c r="L50" i="2" s="1"/>
  <c r="P50" i="2" s="1"/>
  <c r="T50" i="2" s="1"/>
  <c r="G50" i="2"/>
  <c r="K50" i="2" s="1"/>
  <c r="O50" i="2" s="1"/>
  <c r="S50" i="2" s="1"/>
  <c r="I49" i="2"/>
  <c r="M49" i="2" s="1"/>
  <c r="Q49" i="2" s="1"/>
  <c r="U49" i="2" s="1"/>
  <c r="H49" i="2"/>
  <c r="L49" i="2" s="1"/>
  <c r="P49" i="2" s="1"/>
  <c r="T49" i="2" s="1"/>
  <c r="G49" i="2"/>
  <c r="K49" i="2" s="1"/>
  <c r="O49" i="2" s="1"/>
  <c r="S49" i="2" s="1"/>
  <c r="I48" i="2"/>
  <c r="M48" i="2" s="1"/>
  <c r="Q48" i="2" s="1"/>
  <c r="U48" i="2" s="1"/>
  <c r="H48" i="2"/>
  <c r="L48" i="2" s="1"/>
  <c r="P48" i="2" s="1"/>
  <c r="T48" i="2" s="1"/>
  <c r="G48" i="2"/>
  <c r="K48" i="2" s="1"/>
  <c r="O48" i="2" s="1"/>
  <c r="S48" i="2" s="1"/>
  <c r="I47" i="2"/>
  <c r="M47" i="2" s="1"/>
  <c r="Q47" i="2" s="1"/>
  <c r="U47" i="2" s="1"/>
  <c r="H47" i="2"/>
  <c r="L47" i="2" s="1"/>
  <c r="P47" i="2" s="1"/>
  <c r="T47" i="2" s="1"/>
  <c r="G47" i="2"/>
  <c r="K47" i="2" s="1"/>
  <c r="O47" i="2" s="1"/>
  <c r="S47" i="2" s="1"/>
  <c r="I46" i="2"/>
  <c r="M46" i="2" s="1"/>
  <c r="Q46" i="2" s="1"/>
  <c r="U46" i="2" s="1"/>
  <c r="H46" i="2"/>
  <c r="L46" i="2" s="1"/>
  <c r="P46" i="2" s="1"/>
  <c r="T46" i="2" s="1"/>
  <c r="G46" i="2"/>
  <c r="K46" i="2" s="1"/>
  <c r="O46" i="2" s="1"/>
  <c r="S46" i="2" s="1"/>
  <c r="I45" i="2"/>
  <c r="M45" i="2" s="1"/>
  <c r="Q45" i="2" s="1"/>
  <c r="U45" i="2" s="1"/>
  <c r="H45" i="2"/>
  <c r="L45" i="2" s="1"/>
  <c r="P45" i="2" s="1"/>
  <c r="T45" i="2" s="1"/>
  <c r="G45" i="2"/>
  <c r="K45" i="2" s="1"/>
  <c r="O45" i="2" s="1"/>
  <c r="S45" i="2" s="1"/>
  <c r="I44" i="2"/>
  <c r="M44" i="2" s="1"/>
  <c r="Q44" i="2" s="1"/>
  <c r="U44" i="2" s="1"/>
  <c r="H44" i="2"/>
  <c r="L44" i="2" s="1"/>
  <c r="P44" i="2" s="1"/>
  <c r="T44" i="2" s="1"/>
  <c r="G44" i="2"/>
  <c r="K44" i="2" s="1"/>
  <c r="O44" i="2" s="1"/>
  <c r="S44" i="2" s="1"/>
  <c r="I43" i="2"/>
  <c r="M43" i="2" s="1"/>
  <c r="Q43" i="2" s="1"/>
  <c r="U43" i="2" s="1"/>
  <c r="H43" i="2"/>
  <c r="L43" i="2" s="1"/>
  <c r="P43" i="2" s="1"/>
  <c r="T43" i="2" s="1"/>
  <c r="G43" i="2"/>
  <c r="K43" i="2" s="1"/>
  <c r="O43" i="2" s="1"/>
  <c r="S43" i="2" s="1"/>
  <c r="I42" i="2"/>
  <c r="M42" i="2" s="1"/>
  <c r="Q42" i="2" s="1"/>
  <c r="U42" i="2" s="1"/>
  <c r="H42" i="2"/>
  <c r="L42" i="2" s="1"/>
  <c r="P42" i="2" s="1"/>
  <c r="T42" i="2" s="1"/>
  <c r="G42" i="2"/>
  <c r="K42" i="2" s="1"/>
  <c r="O42" i="2" s="1"/>
  <c r="S42" i="2" s="1"/>
  <c r="I41" i="2"/>
  <c r="M41" i="2" s="1"/>
  <c r="Q41" i="2" s="1"/>
  <c r="U41" i="2" s="1"/>
  <c r="H41" i="2"/>
  <c r="L41" i="2" s="1"/>
  <c r="P41" i="2" s="1"/>
  <c r="T41" i="2" s="1"/>
  <c r="G41" i="2"/>
  <c r="K41" i="2" s="1"/>
  <c r="O41" i="2" s="1"/>
  <c r="S41" i="2" s="1"/>
  <c r="I40" i="2"/>
  <c r="M40" i="2" s="1"/>
  <c r="Q40" i="2" s="1"/>
  <c r="U40" i="2" s="1"/>
  <c r="H40" i="2"/>
  <c r="L40" i="2" s="1"/>
  <c r="P40" i="2" s="1"/>
  <c r="T40" i="2" s="1"/>
  <c r="G40" i="2"/>
  <c r="K40" i="2" s="1"/>
  <c r="O40" i="2" s="1"/>
  <c r="S40" i="2" s="1"/>
  <c r="I39" i="2"/>
  <c r="M39" i="2" s="1"/>
  <c r="Q39" i="2" s="1"/>
  <c r="U39" i="2" s="1"/>
  <c r="H39" i="2"/>
  <c r="L39" i="2" s="1"/>
  <c r="P39" i="2" s="1"/>
  <c r="T39" i="2" s="1"/>
  <c r="G39" i="2"/>
  <c r="K39" i="2" s="1"/>
  <c r="O39" i="2" s="1"/>
  <c r="S39" i="2" s="1"/>
  <c r="I38" i="2"/>
  <c r="M38" i="2" s="1"/>
  <c r="Q38" i="2" s="1"/>
  <c r="U38" i="2" s="1"/>
  <c r="H38" i="2"/>
  <c r="L38" i="2" s="1"/>
  <c r="P38" i="2" s="1"/>
  <c r="T38" i="2" s="1"/>
  <c r="G38" i="2"/>
  <c r="K38" i="2" s="1"/>
  <c r="O38" i="2" s="1"/>
  <c r="S38" i="2" s="1"/>
  <c r="I37" i="2"/>
  <c r="M37" i="2" s="1"/>
  <c r="Q37" i="2" s="1"/>
  <c r="U37" i="2" s="1"/>
  <c r="H37" i="2"/>
  <c r="L37" i="2" s="1"/>
  <c r="P37" i="2" s="1"/>
  <c r="T37" i="2" s="1"/>
  <c r="G37" i="2"/>
  <c r="K37" i="2" s="1"/>
  <c r="O37" i="2" s="1"/>
  <c r="S37" i="2" s="1"/>
  <c r="I36" i="2"/>
  <c r="M36" i="2" s="1"/>
  <c r="Q36" i="2" s="1"/>
  <c r="U36" i="2" s="1"/>
  <c r="H36" i="2"/>
  <c r="L36" i="2" s="1"/>
  <c r="P36" i="2" s="1"/>
  <c r="T36" i="2" s="1"/>
  <c r="G36" i="2"/>
  <c r="K36" i="2" s="1"/>
  <c r="O36" i="2" s="1"/>
  <c r="S36" i="2" s="1"/>
  <c r="I35" i="2"/>
  <c r="M35" i="2" s="1"/>
  <c r="Q35" i="2" s="1"/>
  <c r="U35" i="2" s="1"/>
  <c r="H35" i="2"/>
  <c r="L35" i="2" s="1"/>
  <c r="P35" i="2" s="1"/>
  <c r="T35" i="2" s="1"/>
  <c r="G35" i="2"/>
  <c r="K35" i="2" s="1"/>
  <c r="O35" i="2" s="1"/>
  <c r="S35" i="2" s="1"/>
  <c r="I34" i="2"/>
  <c r="M34" i="2" s="1"/>
  <c r="Q34" i="2" s="1"/>
  <c r="U34" i="2" s="1"/>
  <c r="H34" i="2"/>
  <c r="L34" i="2" s="1"/>
  <c r="P34" i="2" s="1"/>
  <c r="T34" i="2" s="1"/>
  <c r="G34" i="2"/>
  <c r="K34" i="2" s="1"/>
  <c r="O34" i="2" s="1"/>
  <c r="S34" i="2" s="1"/>
  <c r="I33" i="2"/>
  <c r="M33" i="2" s="1"/>
  <c r="Q33" i="2" s="1"/>
  <c r="U33" i="2" s="1"/>
  <c r="H33" i="2"/>
  <c r="L33" i="2" s="1"/>
  <c r="P33" i="2" s="1"/>
  <c r="T33" i="2" s="1"/>
  <c r="G33" i="2"/>
  <c r="K33" i="2" s="1"/>
  <c r="O33" i="2" s="1"/>
  <c r="S33" i="2" s="1"/>
  <c r="I32" i="2"/>
  <c r="M32" i="2" s="1"/>
  <c r="Q32" i="2" s="1"/>
  <c r="U32" i="2" s="1"/>
  <c r="H32" i="2"/>
  <c r="L32" i="2" s="1"/>
  <c r="P32" i="2" s="1"/>
  <c r="T32" i="2" s="1"/>
  <c r="G32" i="2"/>
  <c r="K32" i="2" s="1"/>
  <c r="O32" i="2" s="1"/>
  <c r="S32" i="2" s="1"/>
  <c r="I31" i="2"/>
  <c r="M31" i="2" s="1"/>
  <c r="Q31" i="2" s="1"/>
  <c r="U31" i="2" s="1"/>
  <c r="H31" i="2"/>
  <c r="L31" i="2" s="1"/>
  <c r="P31" i="2" s="1"/>
  <c r="T31" i="2" s="1"/>
  <c r="G31" i="2"/>
  <c r="K31" i="2" s="1"/>
  <c r="O31" i="2" s="1"/>
  <c r="S31" i="2" s="1"/>
  <c r="I30" i="2"/>
  <c r="M30" i="2" s="1"/>
  <c r="Q30" i="2" s="1"/>
  <c r="U30" i="2" s="1"/>
  <c r="H30" i="2"/>
  <c r="L30" i="2" s="1"/>
  <c r="P30" i="2" s="1"/>
  <c r="T30" i="2" s="1"/>
  <c r="G30" i="2"/>
  <c r="K30" i="2" s="1"/>
  <c r="O30" i="2" s="1"/>
  <c r="S30" i="2" s="1"/>
  <c r="I29" i="2"/>
  <c r="M29" i="2" s="1"/>
  <c r="Q29" i="2" s="1"/>
  <c r="U29" i="2" s="1"/>
  <c r="H29" i="2"/>
  <c r="L29" i="2" s="1"/>
  <c r="P29" i="2" s="1"/>
  <c r="T29" i="2" s="1"/>
  <c r="G29" i="2"/>
  <c r="K29" i="2" s="1"/>
  <c r="O29" i="2" s="1"/>
  <c r="S29" i="2" s="1"/>
  <c r="I28" i="2"/>
  <c r="M28" i="2" s="1"/>
  <c r="Q28" i="2" s="1"/>
  <c r="U28" i="2" s="1"/>
  <c r="H28" i="2"/>
  <c r="L28" i="2" s="1"/>
  <c r="P28" i="2" s="1"/>
  <c r="T28" i="2" s="1"/>
  <c r="G28" i="2"/>
  <c r="K28" i="2" s="1"/>
  <c r="O28" i="2" s="1"/>
  <c r="S28" i="2" s="1"/>
  <c r="I27" i="2"/>
  <c r="M27" i="2" s="1"/>
  <c r="Q27" i="2" s="1"/>
  <c r="U27" i="2" s="1"/>
  <c r="H27" i="2"/>
  <c r="L27" i="2" s="1"/>
  <c r="P27" i="2" s="1"/>
  <c r="T27" i="2" s="1"/>
  <c r="G27" i="2"/>
  <c r="K27" i="2" s="1"/>
  <c r="O27" i="2" s="1"/>
  <c r="S27" i="2" s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G2" i="2"/>
  <c r="K2" i="2" s="1"/>
  <c r="O2" i="2" s="1"/>
  <c r="S2" i="2" s="1"/>
  <c r="H2" i="2"/>
  <c r="L2" i="2" s="1"/>
  <c r="P2" i="2" s="1"/>
  <c r="T2" i="2" s="1"/>
  <c r="I2" i="2"/>
  <c r="M2" i="2" s="1"/>
  <c r="Q2" i="2" s="1"/>
  <c r="U2" i="2" s="1"/>
  <c r="G3" i="2"/>
  <c r="K3" i="2" s="1"/>
  <c r="O3" i="2" s="1"/>
  <c r="S3" i="2" s="1"/>
  <c r="H3" i="2"/>
  <c r="L3" i="2" s="1"/>
  <c r="P3" i="2" s="1"/>
  <c r="T3" i="2" s="1"/>
  <c r="I3" i="2"/>
  <c r="M3" i="2" s="1"/>
  <c r="Q3" i="2" s="1"/>
  <c r="U3" i="2" s="1"/>
  <c r="G4" i="2"/>
  <c r="K4" i="2" s="1"/>
  <c r="O4" i="2" s="1"/>
  <c r="S4" i="2" s="1"/>
  <c r="H4" i="2"/>
  <c r="L4" i="2" s="1"/>
  <c r="P4" i="2" s="1"/>
  <c r="T4" i="2" s="1"/>
  <c r="I4" i="2"/>
  <c r="M4" i="2" s="1"/>
  <c r="Q4" i="2" s="1"/>
  <c r="U4" i="2" s="1"/>
  <c r="G5" i="2"/>
  <c r="K5" i="2" s="1"/>
  <c r="O5" i="2" s="1"/>
  <c r="S5" i="2" s="1"/>
  <c r="H5" i="2"/>
  <c r="L5" i="2" s="1"/>
  <c r="P5" i="2" s="1"/>
  <c r="T5" i="2" s="1"/>
  <c r="I5" i="2"/>
  <c r="M5" i="2" s="1"/>
  <c r="Q5" i="2" s="1"/>
  <c r="U5" i="2" s="1"/>
  <c r="G6" i="2"/>
  <c r="K6" i="2" s="1"/>
  <c r="O6" i="2" s="1"/>
  <c r="S6" i="2" s="1"/>
  <c r="H6" i="2"/>
  <c r="L6" i="2" s="1"/>
  <c r="P6" i="2" s="1"/>
  <c r="T6" i="2" s="1"/>
  <c r="I6" i="2"/>
  <c r="M6" i="2" s="1"/>
  <c r="Q6" i="2" s="1"/>
  <c r="U6" i="2" s="1"/>
  <c r="G7" i="2"/>
  <c r="K7" i="2" s="1"/>
  <c r="O7" i="2" s="1"/>
  <c r="S7" i="2" s="1"/>
  <c r="H7" i="2"/>
  <c r="L7" i="2" s="1"/>
  <c r="P7" i="2" s="1"/>
  <c r="T7" i="2" s="1"/>
  <c r="I7" i="2"/>
  <c r="M7" i="2" s="1"/>
  <c r="Q7" i="2" s="1"/>
  <c r="U7" i="2" s="1"/>
  <c r="G8" i="2"/>
  <c r="K8" i="2" s="1"/>
  <c r="O8" i="2" s="1"/>
  <c r="S8" i="2" s="1"/>
  <c r="H8" i="2"/>
  <c r="L8" i="2" s="1"/>
  <c r="P8" i="2" s="1"/>
  <c r="T8" i="2" s="1"/>
  <c r="I8" i="2"/>
  <c r="M8" i="2" s="1"/>
  <c r="Q8" i="2" s="1"/>
  <c r="U8" i="2" s="1"/>
  <c r="G9" i="2"/>
  <c r="K9" i="2" s="1"/>
  <c r="O9" i="2" s="1"/>
  <c r="S9" i="2" s="1"/>
  <c r="H9" i="2"/>
  <c r="L9" i="2" s="1"/>
  <c r="P9" i="2" s="1"/>
  <c r="T9" i="2" s="1"/>
  <c r="I9" i="2"/>
  <c r="M9" i="2" s="1"/>
  <c r="Q9" i="2" s="1"/>
  <c r="U9" i="2" s="1"/>
  <c r="G10" i="2"/>
  <c r="K10" i="2" s="1"/>
  <c r="O10" i="2" s="1"/>
  <c r="S10" i="2" s="1"/>
  <c r="H10" i="2"/>
  <c r="L10" i="2" s="1"/>
  <c r="P10" i="2" s="1"/>
  <c r="T10" i="2" s="1"/>
  <c r="I10" i="2"/>
  <c r="M10" i="2" s="1"/>
  <c r="Q10" i="2" s="1"/>
  <c r="U10" i="2" s="1"/>
  <c r="G11" i="2"/>
  <c r="K11" i="2" s="1"/>
  <c r="O11" i="2" s="1"/>
  <c r="S11" i="2" s="1"/>
  <c r="H11" i="2"/>
  <c r="L11" i="2" s="1"/>
  <c r="P11" i="2" s="1"/>
  <c r="T11" i="2" s="1"/>
  <c r="I11" i="2"/>
  <c r="M11" i="2" s="1"/>
  <c r="Q11" i="2" s="1"/>
  <c r="U11" i="2" s="1"/>
  <c r="G12" i="2"/>
  <c r="K12" i="2" s="1"/>
  <c r="O12" i="2" s="1"/>
  <c r="S12" i="2" s="1"/>
  <c r="H12" i="2"/>
  <c r="L12" i="2" s="1"/>
  <c r="P12" i="2" s="1"/>
  <c r="T12" i="2" s="1"/>
  <c r="I12" i="2"/>
  <c r="M12" i="2" s="1"/>
  <c r="Q12" i="2" s="1"/>
  <c r="U12" i="2" s="1"/>
  <c r="G13" i="2"/>
  <c r="K13" i="2" s="1"/>
  <c r="O13" i="2" s="1"/>
  <c r="S13" i="2" s="1"/>
  <c r="H13" i="2"/>
  <c r="L13" i="2" s="1"/>
  <c r="P13" i="2" s="1"/>
  <c r="T13" i="2" s="1"/>
  <c r="I13" i="2"/>
  <c r="M13" i="2" s="1"/>
  <c r="Q13" i="2" s="1"/>
  <c r="U13" i="2" s="1"/>
  <c r="G14" i="2"/>
  <c r="K14" i="2" s="1"/>
  <c r="O14" i="2" s="1"/>
  <c r="S14" i="2" s="1"/>
  <c r="H14" i="2"/>
  <c r="L14" i="2" s="1"/>
  <c r="P14" i="2" s="1"/>
  <c r="T14" i="2" s="1"/>
  <c r="I14" i="2"/>
  <c r="M14" i="2" s="1"/>
  <c r="Q14" i="2" s="1"/>
  <c r="U14" i="2" s="1"/>
  <c r="G15" i="2"/>
  <c r="K15" i="2" s="1"/>
  <c r="O15" i="2" s="1"/>
  <c r="S15" i="2" s="1"/>
  <c r="H15" i="2"/>
  <c r="L15" i="2" s="1"/>
  <c r="P15" i="2" s="1"/>
  <c r="T15" i="2" s="1"/>
  <c r="I15" i="2"/>
  <c r="M15" i="2" s="1"/>
  <c r="Q15" i="2" s="1"/>
  <c r="U15" i="2" s="1"/>
  <c r="G16" i="2"/>
  <c r="K16" i="2" s="1"/>
  <c r="O16" i="2" s="1"/>
  <c r="S16" i="2" s="1"/>
  <c r="H16" i="2"/>
  <c r="L16" i="2" s="1"/>
  <c r="P16" i="2" s="1"/>
  <c r="T16" i="2" s="1"/>
  <c r="I16" i="2"/>
  <c r="M16" i="2" s="1"/>
  <c r="Q16" i="2" s="1"/>
  <c r="U16" i="2" s="1"/>
  <c r="G17" i="2"/>
  <c r="K17" i="2" s="1"/>
  <c r="O17" i="2" s="1"/>
  <c r="S17" i="2" s="1"/>
  <c r="H17" i="2"/>
  <c r="L17" i="2" s="1"/>
  <c r="P17" i="2" s="1"/>
  <c r="T17" i="2" s="1"/>
  <c r="I17" i="2"/>
  <c r="M17" i="2" s="1"/>
  <c r="Q17" i="2" s="1"/>
  <c r="U17" i="2" s="1"/>
  <c r="G18" i="2"/>
  <c r="K18" i="2" s="1"/>
  <c r="O18" i="2" s="1"/>
  <c r="S18" i="2" s="1"/>
  <c r="H18" i="2"/>
  <c r="L18" i="2" s="1"/>
  <c r="P18" i="2" s="1"/>
  <c r="T18" i="2" s="1"/>
  <c r="I18" i="2"/>
  <c r="M18" i="2" s="1"/>
  <c r="Q18" i="2" s="1"/>
  <c r="U18" i="2" s="1"/>
  <c r="G19" i="2"/>
  <c r="K19" i="2" s="1"/>
  <c r="O19" i="2" s="1"/>
  <c r="S19" i="2" s="1"/>
  <c r="H19" i="2"/>
  <c r="L19" i="2" s="1"/>
  <c r="P19" i="2" s="1"/>
  <c r="T19" i="2" s="1"/>
  <c r="I19" i="2"/>
  <c r="M19" i="2" s="1"/>
  <c r="Q19" i="2" s="1"/>
  <c r="U19" i="2" s="1"/>
  <c r="G20" i="2"/>
  <c r="K20" i="2" s="1"/>
  <c r="O20" i="2" s="1"/>
  <c r="S20" i="2" s="1"/>
  <c r="H20" i="2"/>
  <c r="L20" i="2" s="1"/>
  <c r="P20" i="2" s="1"/>
  <c r="T20" i="2" s="1"/>
  <c r="I20" i="2"/>
  <c r="M20" i="2" s="1"/>
  <c r="Q20" i="2" s="1"/>
  <c r="U20" i="2" s="1"/>
  <c r="B25" i="1"/>
  <c r="B28" i="1" s="1"/>
  <c r="B40" i="1" s="1"/>
  <c r="F23" i="1"/>
  <c r="B17" i="1"/>
  <c r="B11" i="1"/>
  <c r="B14" i="1" s="1"/>
  <c r="X163" i="2" l="1"/>
  <c r="X155" i="2"/>
  <c r="X147" i="2"/>
  <c r="X139" i="2"/>
  <c r="X131" i="2"/>
  <c r="X123" i="2"/>
  <c r="X115" i="2"/>
  <c r="X107" i="2"/>
  <c r="X99" i="2"/>
  <c r="X91" i="2"/>
  <c r="X83" i="2"/>
  <c r="X75" i="2"/>
  <c r="X67" i="2"/>
  <c r="X59" i="2"/>
  <c r="X51" i="2"/>
  <c r="X43" i="2"/>
  <c r="X35" i="2"/>
  <c r="X162" i="2"/>
  <c r="X154" i="2"/>
  <c r="X146" i="2"/>
  <c r="X138" i="2"/>
  <c r="X130" i="2"/>
  <c r="X122" i="2"/>
  <c r="X114" i="2"/>
  <c r="X106" i="2"/>
  <c r="X98" i="2"/>
  <c r="X90" i="2"/>
  <c r="X82" i="2"/>
  <c r="X74" i="2"/>
  <c r="X66" i="2"/>
  <c r="X58" i="2"/>
  <c r="X50" i="2"/>
  <c r="X42" i="2"/>
  <c r="X34" i="2"/>
  <c r="X161" i="2"/>
  <c r="X153" i="2"/>
  <c r="X145" i="2"/>
  <c r="X137" i="2"/>
  <c r="X129" i="2"/>
  <c r="X121" i="2"/>
  <c r="X113" i="2"/>
  <c r="X105" i="2"/>
  <c r="X97" i="2"/>
  <c r="X89" i="2"/>
  <c r="X81" i="2"/>
  <c r="X73" i="2"/>
  <c r="X65" i="2"/>
  <c r="X57" i="2"/>
  <c r="X49" i="2"/>
  <c r="X41" i="2"/>
  <c r="X33" i="2"/>
  <c r="X160" i="2"/>
  <c r="X152" i="2"/>
  <c r="X144" i="2"/>
  <c r="X136" i="2"/>
  <c r="X128" i="2"/>
  <c r="X120" i="2"/>
  <c r="X112" i="2"/>
  <c r="X104" i="2"/>
  <c r="X96" i="2"/>
  <c r="X88" i="2"/>
  <c r="X80" i="2"/>
  <c r="X72" i="2"/>
  <c r="X64" i="2"/>
  <c r="X56" i="2"/>
  <c r="X48" i="2"/>
  <c r="X40" i="2"/>
  <c r="X32" i="2"/>
  <c r="X159" i="2"/>
  <c r="X151" i="2"/>
  <c r="X143" i="2"/>
  <c r="X135" i="2"/>
  <c r="X127" i="2"/>
  <c r="X119" i="2"/>
  <c r="X111" i="2"/>
  <c r="X103" i="2"/>
  <c r="X95" i="2"/>
  <c r="X87" i="2"/>
  <c r="X79" i="2"/>
  <c r="X71" i="2"/>
  <c r="X63" i="2"/>
  <c r="X55" i="2"/>
  <c r="X47" i="2"/>
  <c r="X39" i="2"/>
  <c r="X31" i="2"/>
  <c r="X27" i="2"/>
  <c r="X158" i="2"/>
  <c r="X150" i="2"/>
  <c r="X142" i="2"/>
  <c r="X134" i="2"/>
  <c r="X126" i="2"/>
  <c r="X118" i="2"/>
  <c r="X110" i="2"/>
  <c r="X102" i="2"/>
  <c r="X94" i="2"/>
  <c r="X86" i="2"/>
  <c r="X78" i="2"/>
  <c r="X70" i="2"/>
  <c r="X62" i="2"/>
  <c r="X54" i="2"/>
  <c r="X46" i="2"/>
  <c r="X38" i="2"/>
  <c r="X30" i="2"/>
  <c r="X165" i="2"/>
  <c r="X157" i="2"/>
  <c r="X149" i="2"/>
  <c r="X141" i="2"/>
  <c r="X133" i="2"/>
  <c r="X125" i="2"/>
  <c r="X117" i="2"/>
  <c r="X109" i="2"/>
  <c r="X101" i="2"/>
  <c r="X93" i="2"/>
  <c r="X85" i="2"/>
  <c r="X77" i="2"/>
  <c r="X69" i="2"/>
  <c r="X61" i="2"/>
  <c r="X53" i="2"/>
  <c r="X45" i="2"/>
  <c r="X37" i="2"/>
  <c r="X29" i="2"/>
  <c r="X164" i="2"/>
  <c r="X156" i="2"/>
  <c r="X148" i="2"/>
  <c r="X140" i="2"/>
  <c r="X132" i="2"/>
  <c r="X124" i="2"/>
  <c r="X116" i="2"/>
  <c r="X108" i="2"/>
  <c r="X100" i="2"/>
  <c r="X92" i="2"/>
  <c r="X84" i="2"/>
  <c r="X76" i="2"/>
  <c r="X68" i="2"/>
  <c r="X60" i="2"/>
  <c r="X52" i="2"/>
  <c r="X44" i="2"/>
  <c r="X36" i="2"/>
  <c r="X28" i="2"/>
  <c r="V52" i="2"/>
  <c r="V27" i="2"/>
  <c r="V75" i="2"/>
  <c r="V107" i="2"/>
  <c r="V123" i="2"/>
  <c r="V143" i="2"/>
  <c r="V163" i="2"/>
  <c r="V158" i="2"/>
  <c r="V17" i="2"/>
  <c r="V13" i="2"/>
  <c r="V9" i="2"/>
  <c r="V5" i="2"/>
  <c r="V14" i="2"/>
  <c r="V2" i="2"/>
  <c r="V16" i="2"/>
  <c r="V20" i="2"/>
  <c r="V6" i="2"/>
  <c r="V12" i="2"/>
  <c r="V4" i="2"/>
  <c r="V10" i="2"/>
  <c r="V8" i="2"/>
  <c r="V19" i="2"/>
  <c r="V18" i="2"/>
  <c r="V15" i="2"/>
  <c r="V11" i="2"/>
  <c r="V7" i="2"/>
  <c r="V3" i="2"/>
  <c r="V36" i="2"/>
  <c r="V48" i="2"/>
  <c r="V72" i="2"/>
  <c r="V84" i="2"/>
  <c r="V92" i="2"/>
  <c r="V108" i="2"/>
  <c r="V136" i="2"/>
  <c r="V76" i="2"/>
  <c r="V29" i="2"/>
  <c r="V37" i="2"/>
  <c r="V45" i="2"/>
  <c r="V53" i="2"/>
  <c r="V61" i="2"/>
  <c r="V69" i="2"/>
  <c r="V77" i="2"/>
  <c r="V89" i="2"/>
  <c r="V97" i="2"/>
  <c r="V109" i="2"/>
  <c r="V117" i="2"/>
  <c r="V125" i="2"/>
  <c r="V133" i="2"/>
  <c r="V145" i="2"/>
  <c r="V165" i="2"/>
  <c r="V49" i="2"/>
  <c r="V146" i="2"/>
  <c r="V159" i="2"/>
  <c r="V39" i="2"/>
  <c r="V87" i="2"/>
  <c r="V135" i="2"/>
  <c r="V63" i="2"/>
  <c r="V95" i="2"/>
  <c r="V119" i="2"/>
  <c r="V51" i="2"/>
  <c r="V30" i="2"/>
  <c r="V42" i="2"/>
  <c r="V54" i="2"/>
  <c r="V66" i="2"/>
  <c r="V78" i="2"/>
  <c r="V82" i="2"/>
  <c r="V98" i="2"/>
  <c r="V106" i="2"/>
  <c r="V118" i="2"/>
  <c r="V126" i="2"/>
  <c r="V142" i="2"/>
  <c r="V147" i="2"/>
  <c r="V156" i="2"/>
  <c r="V112" i="2"/>
  <c r="V132" i="2"/>
  <c r="V83" i="2"/>
  <c r="V46" i="2"/>
  <c r="V70" i="2"/>
  <c r="V90" i="2"/>
  <c r="V130" i="2"/>
  <c r="V140" i="2"/>
  <c r="V50" i="2"/>
  <c r="V74" i="2"/>
  <c r="V94" i="2"/>
  <c r="V114" i="2"/>
  <c r="V151" i="2"/>
  <c r="V99" i="2"/>
  <c r="V104" i="2"/>
  <c r="V31" i="2"/>
  <c r="V43" i="2"/>
  <c r="V55" i="2"/>
  <c r="V67" i="2"/>
  <c r="V79" i="2"/>
  <c r="V91" i="2"/>
  <c r="V103" i="2"/>
  <c r="V115" i="2"/>
  <c r="V127" i="2"/>
  <c r="V139" i="2"/>
  <c r="V152" i="2"/>
  <c r="V34" i="2"/>
  <c r="V86" i="2"/>
  <c r="V110" i="2"/>
  <c r="V138" i="2"/>
  <c r="V162" i="2"/>
  <c r="V71" i="2"/>
  <c r="V62" i="2"/>
  <c r="V122" i="2"/>
  <c r="V111" i="2"/>
  <c r="V60" i="2"/>
  <c r="V28" i="2"/>
  <c r="V32" i="2"/>
  <c r="V40" i="2"/>
  <c r="V44" i="2"/>
  <c r="V56" i="2"/>
  <c r="V64" i="2"/>
  <c r="V68" i="2"/>
  <c r="V80" i="2"/>
  <c r="V88" i="2"/>
  <c r="V96" i="2"/>
  <c r="V100" i="2"/>
  <c r="V116" i="2"/>
  <c r="V120" i="2"/>
  <c r="V124" i="2"/>
  <c r="V128" i="2"/>
  <c r="V144" i="2"/>
  <c r="V149" i="2"/>
  <c r="V154" i="2"/>
  <c r="V164" i="2"/>
  <c r="V153" i="2"/>
  <c r="V38" i="2"/>
  <c r="V58" i="2"/>
  <c r="V102" i="2"/>
  <c r="V134" i="2"/>
  <c r="V148" i="2"/>
  <c r="V157" i="2"/>
  <c r="V47" i="2"/>
  <c r="V131" i="2"/>
  <c r="V33" i="2"/>
  <c r="V41" i="2"/>
  <c r="V57" i="2"/>
  <c r="V65" i="2"/>
  <c r="V73" i="2"/>
  <c r="V81" i="2"/>
  <c r="V85" i="2"/>
  <c r="V93" i="2"/>
  <c r="V101" i="2"/>
  <c r="V105" i="2"/>
  <c r="V113" i="2"/>
  <c r="V121" i="2"/>
  <c r="V129" i="2"/>
  <c r="V137" i="2"/>
  <c r="V141" i="2"/>
  <c r="V150" i="2"/>
  <c r="V155" i="2"/>
  <c r="V161" i="2"/>
  <c r="V59" i="2"/>
  <c r="V35" i="2"/>
  <c r="V160" i="2"/>
  <c r="B19" i="1"/>
  <c r="B32" i="1"/>
  <c r="B42" i="1"/>
  <c r="B46" i="1" s="1"/>
  <c r="F46" i="1" l="1"/>
  <c r="B48" i="1"/>
</calcChain>
</file>

<file path=xl/sharedStrings.xml><?xml version="1.0" encoding="utf-8"?>
<sst xmlns="http://schemas.openxmlformats.org/spreadsheetml/2006/main" count="461" uniqueCount="392">
  <si>
    <t>NumberOfFalseTargets</t>
  </si>
  <si>
    <t>*</t>
  </si>
  <si>
    <t>PRI</t>
  </si>
  <si>
    <t>PW</t>
  </si>
  <si>
    <t>ScanTime</t>
  </si>
  <si>
    <t>jamming_pulse_density</t>
  </si>
  <si>
    <t>number_of_pulses_integrated</t>
  </si>
  <si>
    <t>uSec</t>
  </si>
  <si>
    <t>Sec</t>
  </si>
  <si>
    <t>#</t>
  </si>
  <si>
    <t>deg</t>
  </si>
  <si>
    <t>Pulse</t>
  </si>
  <si>
    <t>Scan Time</t>
  </si>
  <si>
    <t xml:space="preserve"> </t>
  </si>
  <si>
    <t>Round</t>
  </si>
  <si>
    <t>Rounds</t>
  </si>
  <si>
    <t>Scan Rate</t>
  </si>
  <si>
    <t>Jamming_Pulse_Density</t>
  </si>
  <si>
    <t>JPD</t>
  </si>
  <si>
    <t>NPI</t>
  </si>
  <si>
    <t>NPI_AFSIM</t>
  </si>
  <si>
    <t>NPI_Calc</t>
  </si>
  <si>
    <t>Az_Beam_Width</t>
  </si>
  <si>
    <t>PRF</t>
  </si>
  <si>
    <t>NFT</t>
  </si>
  <si>
    <t>Pulses</t>
  </si>
  <si>
    <t>Duty Cycle</t>
  </si>
  <si>
    <t>PulseT</t>
  </si>
  <si>
    <t>PulseO</t>
  </si>
  <si>
    <t>az beam width</t>
  </si>
  <si>
    <t>Deg</t>
  </si>
  <si>
    <t>Degrees</t>
  </si>
  <si>
    <t>Pulses/Degree</t>
  </si>
  <si>
    <t>Degree</t>
  </si>
  <si>
    <t>360 Deg</t>
  </si>
  <si>
    <t>1 round</t>
  </si>
  <si>
    <t>Pulse/Degree</t>
  </si>
  <si>
    <t>Pulses^2</t>
  </si>
  <si>
    <t>Pulse^2</t>
  </si>
  <si>
    <t>black</t>
  </si>
  <si>
    <t>blue</t>
  </si>
  <si>
    <t>brown</t>
  </si>
  <si>
    <t>dark_blue</t>
  </si>
  <si>
    <t>dark_green</t>
  </si>
  <si>
    <t>dark_purple</t>
  </si>
  <si>
    <t>dark_red</t>
  </si>
  <si>
    <t>dark_yellow</t>
  </si>
  <si>
    <t>green</t>
  </si>
  <si>
    <t>indigo</t>
  </si>
  <si>
    <t>light_blue</t>
  </si>
  <si>
    <t>light_green</t>
  </si>
  <si>
    <t>light_purple</t>
  </si>
  <si>
    <t>light_red</t>
  </si>
  <si>
    <t>light_yellow</t>
  </si>
  <si>
    <t>orange</t>
  </si>
  <si>
    <t>pink</t>
  </si>
  <si>
    <t>purple</t>
  </si>
  <si>
    <t>red</t>
  </si>
  <si>
    <t>tan</t>
  </si>
  <si>
    <t>violet</t>
  </si>
  <si>
    <t>white</t>
  </si>
  <si>
    <t>yellow</t>
  </si>
  <si>
    <t>24 bit colors - binary</t>
  </si>
  <si>
    <t>24 bit colors - Decimal</t>
  </si>
  <si>
    <t>16 bit colors - binary</t>
  </si>
  <si>
    <t>16 bit colors - Decimal</t>
  </si>
  <si>
    <t>Color</t>
  </si>
  <si>
    <t>Hex Code</t>
  </si>
  <si>
    <t>#RRGGBB</t>
  </si>
  <si>
    <t>Decimal Code</t>
  </si>
  <si>
    <t>#000000</t>
  </si>
  <si>
    <t>(0,0,0)</t>
  </si>
  <si>
    <t>#FFFFFF</t>
  </si>
  <si>
    <t>#FF0000</t>
  </si>
  <si>
    <t>(255,0,0)</t>
  </si>
  <si>
    <t>#00FF00</t>
  </si>
  <si>
    <t>(0,255,0)</t>
  </si>
  <si>
    <t>#0000FF</t>
  </si>
  <si>
    <t>(0,0,255)</t>
  </si>
  <si>
    <t>#FFFF00</t>
  </si>
  <si>
    <t>(255,255,0)</t>
  </si>
  <si>
    <t>#00FFFF</t>
  </si>
  <si>
    <t>(0,255,255)</t>
  </si>
  <si>
    <t>#FF00FF</t>
  </si>
  <si>
    <t>(255,0,255)</t>
  </si>
  <si>
    <t>#C0C0C0</t>
  </si>
  <si>
    <t>#808080</t>
  </si>
  <si>
    <t>#800000</t>
  </si>
  <si>
    <t>(128,0,0)</t>
  </si>
  <si>
    <t>#808000</t>
  </si>
  <si>
    <t>(128,128,0)</t>
  </si>
  <si>
    <t>#008000</t>
  </si>
  <si>
    <t>(0,128,0)</t>
  </si>
  <si>
    <t>#800080</t>
  </si>
  <si>
    <t>(128,0,128)</t>
  </si>
  <si>
    <t>#008080</t>
  </si>
  <si>
    <t>(0,128,128)</t>
  </si>
  <si>
    <t>#000080</t>
  </si>
  <si>
    <t>(0,0,128)</t>
  </si>
  <si>
    <t>Color Name</t>
  </si>
  <si>
    <t>R,G,B</t>
  </si>
  <si>
    <t>maroon</t>
  </si>
  <si>
    <t>#8B0000</t>
  </si>
  <si>
    <t>(139,0,0)</t>
  </si>
  <si>
    <t>#A52A2A</t>
  </si>
  <si>
    <t>(165,42,42)</t>
  </si>
  <si>
    <t>firebrick</t>
  </si>
  <si>
    <t>#B22222</t>
  </si>
  <si>
    <t>(178,34,34)</t>
  </si>
  <si>
    <t>crimson</t>
  </si>
  <si>
    <t>#DC143C</t>
  </si>
  <si>
    <t>(220,20,60)</t>
  </si>
  <si>
    <t>tomato</t>
  </si>
  <si>
    <t>#FF6347</t>
  </si>
  <si>
    <t>(255,99,71)</t>
  </si>
  <si>
    <t>coral</t>
  </si>
  <si>
    <t>#FF7F50</t>
  </si>
  <si>
    <t>(255,127,80)</t>
  </si>
  <si>
    <t>#CD5C5C</t>
  </si>
  <si>
    <t>(205,92,92)</t>
  </si>
  <si>
    <t>#F08080</t>
  </si>
  <si>
    <t>#E9967A</t>
  </si>
  <si>
    <t>salmon</t>
  </si>
  <si>
    <t>#FA8072</t>
  </si>
  <si>
    <t>#FFA07A</t>
  </si>
  <si>
    <t>#FF4500</t>
  </si>
  <si>
    <t>(255,69,0)</t>
  </si>
  <si>
    <t>#FF8C00</t>
  </si>
  <si>
    <t>(255,140,0)</t>
  </si>
  <si>
    <t>#FFA500</t>
  </si>
  <si>
    <t>(255,165,0)</t>
  </si>
  <si>
    <t>gold</t>
  </si>
  <si>
    <t>#FFD700</t>
  </si>
  <si>
    <t>(255,215,0)</t>
  </si>
  <si>
    <t>#B8860B</t>
  </si>
  <si>
    <t>(184,134,11)</t>
  </si>
  <si>
    <t>#DAA520</t>
  </si>
  <si>
    <t>(218,165,32)</t>
  </si>
  <si>
    <t>#EEE8AA</t>
  </si>
  <si>
    <t>#BDB76B</t>
  </si>
  <si>
    <t>khaki</t>
  </si>
  <si>
    <t>#F0E68C</t>
  </si>
  <si>
    <t>olive</t>
  </si>
  <si>
    <t>#9ACD32</t>
  </si>
  <si>
    <t>(154,205,50)</t>
  </si>
  <si>
    <t>#556B2F</t>
  </si>
  <si>
    <t>(85,107,47)</t>
  </si>
  <si>
    <t>#6B8E23</t>
  </si>
  <si>
    <t>(107,142,35)</t>
  </si>
  <si>
    <t>#7CFC00</t>
  </si>
  <si>
    <t>(124,252,0)</t>
  </si>
  <si>
    <t>chartreuse</t>
  </si>
  <si>
    <t>#7FFF00</t>
  </si>
  <si>
    <t>(127,255,0)</t>
  </si>
  <si>
    <t>#ADFF2F</t>
  </si>
  <si>
    <t>(173,255,47)</t>
  </si>
  <si>
    <t>#006400</t>
  </si>
  <si>
    <t>(0,100,0)</t>
  </si>
  <si>
    <t>#228B22</t>
  </si>
  <si>
    <t>(34,139,34)</t>
  </si>
  <si>
    <t>lime</t>
  </si>
  <si>
    <t>#32CD32</t>
  </si>
  <si>
    <t>(50,205,50)</t>
  </si>
  <si>
    <t>#90EE90</t>
  </si>
  <si>
    <t>#98FB98</t>
  </si>
  <si>
    <t>#8FBC8F</t>
  </si>
  <si>
    <t>#00FA9A</t>
  </si>
  <si>
    <t>(0,250,154)</t>
  </si>
  <si>
    <t>#00FF7F</t>
  </si>
  <si>
    <t>(0,255,127)</t>
  </si>
  <si>
    <t>#2E8B57</t>
  </si>
  <si>
    <t>(46,139,87)</t>
  </si>
  <si>
    <t>#66CDAA</t>
  </si>
  <si>
    <t>#3CB371</t>
  </si>
  <si>
    <t>#20B2AA</t>
  </si>
  <si>
    <t>#2F4F4F</t>
  </si>
  <si>
    <t>(47,79,79)</t>
  </si>
  <si>
    <t>teal</t>
  </si>
  <si>
    <t>#008B8B</t>
  </si>
  <si>
    <t>(0,139,139)</t>
  </si>
  <si>
    <t>aqua</t>
  </si>
  <si>
    <t>cyan</t>
  </si>
  <si>
    <t>#E0FFFF</t>
  </si>
  <si>
    <t>#00CED1</t>
  </si>
  <si>
    <t>(0,206,209)</t>
  </si>
  <si>
    <t>turquoise</t>
  </si>
  <si>
    <t>#40E0D0</t>
  </si>
  <si>
    <t>#48D1CC</t>
  </si>
  <si>
    <t>#AFEEEE</t>
  </si>
  <si>
    <t>#7FFFD4</t>
  </si>
  <si>
    <t>#B0E0E6</t>
  </si>
  <si>
    <t>#5F9EA0</t>
  </si>
  <si>
    <t>#4682B4</t>
  </si>
  <si>
    <t>#6495ED</t>
  </si>
  <si>
    <t>#00BFFF</t>
  </si>
  <si>
    <t>(0,191,255)</t>
  </si>
  <si>
    <t>#1E90FF</t>
  </si>
  <si>
    <t>#ADD8E6</t>
  </si>
  <si>
    <t>#87CEEB</t>
  </si>
  <si>
    <t>#87CEFA</t>
  </si>
  <si>
    <t>#191970</t>
  </si>
  <si>
    <t>(25,25,112)</t>
  </si>
  <si>
    <t>navy</t>
  </si>
  <si>
    <t>#00008B</t>
  </si>
  <si>
    <t>(0,0,139)</t>
  </si>
  <si>
    <t>#0000CD</t>
  </si>
  <si>
    <t>(0,0,205)</t>
  </si>
  <si>
    <t>#4169E1</t>
  </si>
  <si>
    <t>#8A2BE2</t>
  </si>
  <si>
    <t>(138,43,226)</t>
  </si>
  <si>
    <t>#4B0082</t>
  </si>
  <si>
    <t>(75,0,130)</t>
  </si>
  <si>
    <t>#483D8B</t>
  </si>
  <si>
    <t>(72,61,139)</t>
  </si>
  <si>
    <t>#6A5ACD</t>
  </si>
  <si>
    <t>(106,90,205)</t>
  </si>
  <si>
    <t>#7B68EE</t>
  </si>
  <si>
    <t>#9370DB</t>
  </si>
  <si>
    <t>#8B008B</t>
  </si>
  <si>
    <t>(139,0,139)</t>
  </si>
  <si>
    <t>#9400D3</t>
  </si>
  <si>
    <t>(148,0,211)</t>
  </si>
  <si>
    <t>#9932CC</t>
  </si>
  <si>
    <t>(153,50,204)</t>
  </si>
  <si>
    <t>#BA55D3</t>
  </si>
  <si>
    <t>(186,85,211)</t>
  </si>
  <si>
    <t>thistle</t>
  </si>
  <si>
    <t>#D8BFD8</t>
  </si>
  <si>
    <t>plum</t>
  </si>
  <si>
    <t>#DDA0DD</t>
  </si>
  <si>
    <t>#EE82EE</t>
  </si>
  <si>
    <t>orchid</t>
  </si>
  <si>
    <t>#DA70D6</t>
  </si>
  <si>
    <t>#C71585</t>
  </si>
  <si>
    <t>(199,21,133)</t>
  </si>
  <si>
    <t>#DB7093</t>
  </si>
  <si>
    <t>#FF1493</t>
  </si>
  <si>
    <t>(255,20,147)</t>
  </si>
  <si>
    <t>#FF69B4</t>
  </si>
  <si>
    <t>#FFB6C1</t>
  </si>
  <si>
    <t>#FFC0CB</t>
  </si>
  <si>
    <t>#FAEBD7</t>
  </si>
  <si>
    <t>beige</t>
  </si>
  <si>
    <t>#F5F5DC</t>
  </si>
  <si>
    <t>bisque</t>
  </si>
  <si>
    <t>#FFE4C4</t>
  </si>
  <si>
    <t>#FFEBCD</t>
  </si>
  <si>
    <t>wheat</t>
  </si>
  <si>
    <t>#F5DEB3</t>
  </si>
  <si>
    <t>#FFF8DC</t>
  </si>
  <si>
    <t>#FFFACD</t>
  </si>
  <si>
    <t>#FAFAD2</t>
  </si>
  <si>
    <t>#FFFFE0</t>
  </si>
  <si>
    <t>#8B4513</t>
  </si>
  <si>
    <t>(139,69,19)</t>
  </si>
  <si>
    <t>sienna</t>
  </si>
  <si>
    <t>#A0522D</t>
  </si>
  <si>
    <t>(160,82,45)</t>
  </si>
  <si>
    <t>chocolate</t>
  </si>
  <si>
    <t>#D2691E</t>
  </si>
  <si>
    <t>(210,105,30)</t>
  </si>
  <si>
    <t>peru</t>
  </si>
  <si>
    <t>#CD853F</t>
  </si>
  <si>
    <t>(205,133,63)</t>
  </si>
  <si>
    <t>#F4A460</t>
  </si>
  <si>
    <t>(244,164,96)</t>
  </si>
  <si>
    <t>#DEB887</t>
  </si>
  <si>
    <t>#D2B48C</t>
  </si>
  <si>
    <t>#BC8F8F</t>
  </si>
  <si>
    <t>moccasin</t>
  </si>
  <si>
    <t>#FFE4B5</t>
  </si>
  <si>
    <t>#FFDEAD</t>
  </si>
  <si>
    <t>#FFDAB9</t>
  </si>
  <si>
    <t>#FFE4E1</t>
  </si>
  <si>
    <t>#FFF0F5</t>
  </si>
  <si>
    <t>linen</t>
  </si>
  <si>
    <t>#FAF0E6</t>
  </si>
  <si>
    <t>#FDF5E6</t>
  </si>
  <si>
    <t>#FFEFD5</t>
  </si>
  <si>
    <t>#FFF5EE</t>
  </si>
  <si>
    <t>#F5FFFA</t>
  </si>
  <si>
    <t>#708090</t>
  </si>
  <si>
    <t>#778899</t>
  </si>
  <si>
    <t>#B0C4DE</t>
  </si>
  <si>
    <t>lavender</t>
  </si>
  <si>
    <t>#E6E6FA</t>
  </si>
  <si>
    <t>#FFFAF0</t>
  </si>
  <si>
    <t>#F0F8FF</t>
  </si>
  <si>
    <t>#F8F8FF</t>
  </si>
  <si>
    <t>honeydew</t>
  </si>
  <si>
    <t>#F0FFF0</t>
  </si>
  <si>
    <t>ivory</t>
  </si>
  <si>
    <t>#FFFFF0</t>
  </si>
  <si>
    <t>azure</t>
  </si>
  <si>
    <t>#F0FFFF</t>
  </si>
  <si>
    <t>snow</t>
  </si>
  <si>
    <t>#FFFAFA</t>
  </si>
  <si>
    <t>#696969</t>
  </si>
  <si>
    <t>#A9A9A9</t>
  </si>
  <si>
    <t>silver</t>
  </si>
  <si>
    <t>#D3D3D3</t>
  </si>
  <si>
    <t>gainsboro</t>
  </si>
  <si>
    <t>#DCDCDC</t>
  </si>
  <si>
    <t>#F5F5F5</t>
  </si>
  <si>
    <t>24 bit</t>
  </si>
  <si>
    <t>16 bit</t>
  </si>
  <si>
    <t>indian_red</t>
  </si>
  <si>
    <t>light_coral</t>
  </si>
  <si>
    <t>dark_salmon</t>
  </si>
  <si>
    <t>light_salmon</t>
  </si>
  <si>
    <t>orange_red</t>
  </si>
  <si>
    <t>dark_orange</t>
  </si>
  <si>
    <t>dark_golden_rod</t>
  </si>
  <si>
    <t>golden_rod</t>
  </si>
  <si>
    <t>pale_golden_rod</t>
  </si>
  <si>
    <t>dark_khaki</t>
  </si>
  <si>
    <t>yellow_green</t>
  </si>
  <si>
    <t>dark_olive_green</t>
  </si>
  <si>
    <t>olive_drab</t>
  </si>
  <si>
    <t>lawn_green</t>
  </si>
  <si>
    <t>green_yellow</t>
  </si>
  <si>
    <t>forest_green</t>
  </si>
  <si>
    <t>lime_green</t>
  </si>
  <si>
    <t>pale_green</t>
  </si>
  <si>
    <t>dark_sea_green</t>
  </si>
  <si>
    <t>medium_spring_green</t>
  </si>
  <si>
    <t>spring_green</t>
  </si>
  <si>
    <t>sea_green</t>
  </si>
  <si>
    <t>medium_aqua_marine</t>
  </si>
  <si>
    <t>medium_sea_green</t>
  </si>
  <si>
    <t>light_sea_green</t>
  </si>
  <si>
    <t>dark_slate_gray</t>
  </si>
  <si>
    <t>dark_cyan</t>
  </si>
  <si>
    <t>light_cyan</t>
  </si>
  <si>
    <t>dark_turquoise</t>
  </si>
  <si>
    <t>medium_turquoise</t>
  </si>
  <si>
    <t>pale_turquoise</t>
  </si>
  <si>
    <t>aqua_marine</t>
  </si>
  <si>
    <t>powder_blue</t>
  </si>
  <si>
    <t>cadet_blue</t>
  </si>
  <si>
    <t>steel_blue</t>
  </si>
  <si>
    <t>corn_flower_blue</t>
  </si>
  <si>
    <t>deep_sky_blue</t>
  </si>
  <si>
    <t>dodger_blue</t>
  </si>
  <si>
    <t>sky_blue</t>
  </si>
  <si>
    <t>light_sky_blue</t>
  </si>
  <si>
    <t>midnight_blue</t>
  </si>
  <si>
    <t>medium_blue</t>
  </si>
  <si>
    <t>royal_blue</t>
  </si>
  <si>
    <t>blue_violet</t>
  </si>
  <si>
    <t>dark_slate_blue</t>
  </si>
  <si>
    <t>slate_blue</t>
  </si>
  <si>
    <t>medium_slate_blue</t>
  </si>
  <si>
    <t>medium_purple</t>
  </si>
  <si>
    <t>dark_magenta</t>
  </si>
  <si>
    <t>dark_violet</t>
  </si>
  <si>
    <t>dark_orchid</t>
  </si>
  <si>
    <t>medium_orchid</t>
  </si>
  <si>
    <t>medium_violet_red</t>
  </si>
  <si>
    <t>pale_violet_red</t>
  </si>
  <si>
    <t>deep_pink</t>
  </si>
  <si>
    <t>hot_pink</t>
  </si>
  <si>
    <t>light_pink</t>
  </si>
  <si>
    <t>antique_white</t>
  </si>
  <si>
    <t>blanched_almond</t>
  </si>
  <si>
    <t>corn_silk</t>
  </si>
  <si>
    <t>lemon_chiffon</t>
  </si>
  <si>
    <t>light_golden_rod_yellow</t>
  </si>
  <si>
    <t>saddle_brown</t>
  </si>
  <si>
    <t>sandy_brown</t>
  </si>
  <si>
    <t>burly_wood</t>
  </si>
  <si>
    <t>rosy_brown</t>
  </si>
  <si>
    <t>navajo_white</t>
  </si>
  <si>
    <t>peach_puff</t>
  </si>
  <si>
    <t>misty_rose</t>
  </si>
  <si>
    <t>lavender_blush</t>
  </si>
  <si>
    <t>old_lace</t>
  </si>
  <si>
    <t>papaya_whip</t>
  </si>
  <si>
    <t>sea_shell</t>
  </si>
  <si>
    <t>mint_cream</t>
  </si>
  <si>
    <t>slate_gray</t>
  </si>
  <si>
    <t>light_slate_gray</t>
  </si>
  <si>
    <t>light_steel_blue</t>
  </si>
  <si>
    <t>floral_white</t>
  </si>
  <si>
    <t>alice_blue</t>
  </si>
  <si>
    <t>ghost_white</t>
  </si>
  <si>
    <t>white_smoke</t>
  </si>
  <si>
    <t>magenta</t>
  </si>
  <si>
    <t>dim_gray</t>
  </si>
  <si>
    <t>gray</t>
  </si>
  <si>
    <t>dark_gray</t>
  </si>
  <si>
    <t>light_gray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</si>
</sst>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_);_(* \(#,##0\);_(* &quot;-&quot;??_);_(@_)"/>
    <numFmt numFmtId="165" formatCode="0.0000000"/>
  </numFmts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0000"/>
      <name val="Arial Unicode MS"/>
    </font>
    <font>
      <sz val="11"/>
      <name val="Calibri"/>
      <family val="2"/>
      <scheme val="minor"/>
    </font>
    <font>
      <sz val="12"/>
      <color rgb="FF222222"/>
      <name val="Arial"/>
      <family val="2"/>
    </font>
  </fonts>
  <fills count="26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880000"/>
        <bgColor indexed="64"/>
      </patternFill>
    </fill>
    <fill>
      <patternFill patternType="solid">
        <fgColor rgb="FFA02828"/>
        <bgColor indexed="64"/>
      </patternFill>
    </fill>
    <fill>
      <patternFill patternType="solid">
        <fgColor rgb="FFB02020"/>
        <bgColor indexed="64"/>
      </patternFill>
    </fill>
    <fill>
      <patternFill patternType="solid">
        <fgColor rgb="FFD81438"/>
        <bgColor indexed="64"/>
      </patternFill>
    </fill>
    <fill>
      <patternFill patternType="solid">
        <fgColor rgb="FFF80000"/>
        <bgColor indexed="64"/>
      </patternFill>
    </fill>
    <fill>
      <patternFill patternType="solid">
        <fgColor rgb="FFF86040"/>
        <bgColor indexed="64"/>
      </patternFill>
    </fill>
    <fill>
      <patternFill patternType="solid">
        <fgColor rgb="FFF87C50"/>
        <bgColor indexed="64"/>
      </patternFill>
    </fill>
    <fill>
      <patternFill patternType="solid">
        <fgColor rgb="FFC85C58"/>
        <bgColor indexed="64"/>
      </patternFill>
    </fill>
    <fill>
      <patternFill patternType="solid">
        <fgColor rgb="FFE89478"/>
        <bgColor indexed="64"/>
      </patternFill>
    </fill>
    <fill>
      <patternFill patternType="solid">
        <fgColor rgb="FFF88070"/>
        <bgColor indexed="64"/>
      </patternFill>
    </fill>
    <fill>
      <patternFill patternType="solid">
        <fgColor rgb="FFF8A078"/>
        <bgColor indexed="64"/>
      </patternFill>
    </fill>
    <fill>
      <patternFill patternType="solid">
        <fgColor rgb="FFF84400"/>
        <bgColor indexed="64"/>
      </patternFill>
    </fill>
    <fill>
      <patternFill patternType="solid">
        <fgColor rgb="FFF88C00"/>
        <bgColor indexed="64"/>
      </patternFill>
    </fill>
    <fill>
      <patternFill patternType="solid">
        <fgColor rgb="FFF8A400"/>
        <bgColor indexed="64"/>
      </patternFill>
    </fill>
    <fill>
      <patternFill patternType="solid">
        <fgColor rgb="FFF8D400"/>
        <bgColor indexed="64"/>
      </patternFill>
    </fill>
    <fill>
      <patternFill patternType="solid">
        <fgColor rgb="FFB88408"/>
        <bgColor indexed="64"/>
      </patternFill>
    </fill>
    <fill>
      <patternFill patternType="solid">
        <fgColor rgb="FFD8A420"/>
        <bgColor indexed="64"/>
      </patternFill>
    </fill>
    <fill>
      <patternFill patternType="solid">
        <fgColor rgb="FFE8E8A8"/>
        <bgColor indexed="64"/>
      </patternFill>
    </fill>
    <fill>
      <patternFill patternType="solid">
        <fgColor rgb="FFB8B468"/>
        <bgColor indexed="64"/>
      </patternFill>
    </fill>
    <fill>
      <patternFill patternType="solid">
        <fgColor rgb="FFF0E488"/>
        <bgColor indexed="64"/>
      </patternFill>
    </fill>
    <fill>
      <patternFill patternType="solid">
        <fgColor rgb="FFF8FC00"/>
        <bgColor indexed="64"/>
      </patternFill>
    </fill>
    <fill>
      <patternFill patternType="solid">
        <fgColor rgb="FF98CC30"/>
        <bgColor indexed="64"/>
      </patternFill>
    </fill>
    <fill>
      <patternFill patternType="solid">
        <fgColor rgb="FF506828"/>
        <bgColor indexed="64"/>
      </patternFill>
    </fill>
    <fill>
      <patternFill patternType="solid">
        <fgColor rgb="FF688C20"/>
        <bgColor indexed="64"/>
      </patternFill>
    </fill>
    <fill>
      <patternFill patternType="solid">
        <fgColor rgb="FF78FC00"/>
        <bgColor indexed="64"/>
      </patternFill>
    </fill>
    <fill>
      <patternFill patternType="solid">
        <fgColor rgb="FFA8FC28"/>
        <bgColor indexed="64"/>
      </patternFill>
    </fill>
    <fill>
      <patternFill patternType="solid">
        <fgColor rgb="FF208820"/>
        <bgColor indexed="64"/>
      </patternFill>
    </fill>
    <fill>
      <patternFill patternType="solid">
        <fgColor rgb="FF00FC00"/>
        <bgColor indexed="64"/>
      </patternFill>
    </fill>
    <fill>
      <patternFill patternType="solid">
        <fgColor rgb="FF30CC30"/>
        <bgColor indexed="64"/>
      </patternFill>
    </fill>
    <fill>
      <patternFill patternType="solid">
        <fgColor rgb="FF90EC90"/>
        <bgColor indexed="64"/>
      </patternFill>
    </fill>
    <fill>
      <patternFill patternType="solid">
        <fgColor rgb="FF98F898"/>
        <bgColor indexed="64"/>
      </patternFill>
    </fill>
    <fill>
      <patternFill patternType="solid">
        <fgColor rgb="FF88BC88"/>
        <bgColor indexed="64"/>
      </patternFill>
    </fill>
    <fill>
      <patternFill patternType="solid">
        <fgColor rgb="FF00F898"/>
        <bgColor indexed="64"/>
      </patternFill>
    </fill>
    <fill>
      <patternFill patternType="solid">
        <fgColor rgb="FF00FC78"/>
        <bgColor indexed="64"/>
      </patternFill>
    </fill>
    <fill>
      <patternFill patternType="solid">
        <fgColor rgb="FF288850"/>
        <bgColor indexed="64"/>
      </patternFill>
    </fill>
    <fill>
      <patternFill patternType="solid">
        <fgColor rgb="FF60CCA8"/>
        <bgColor indexed="64"/>
      </patternFill>
    </fill>
    <fill>
      <patternFill patternType="solid">
        <fgColor rgb="FF38B070"/>
        <bgColor indexed="64"/>
      </patternFill>
    </fill>
    <fill>
      <patternFill patternType="solid">
        <fgColor rgb="FF20B0A8"/>
        <bgColor indexed="64"/>
      </patternFill>
    </fill>
    <fill>
      <patternFill patternType="solid">
        <fgColor rgb="FF284C48"/>
        <bgColor indexed="64"/>
      </patternFill>
    </fill>
    <fill>
      <patternFill patternType="solid">
        <fgColor rgb="FF008888"/>
        <bgColor indexed="64"/>
      </patternFill>
    </fill>
    <fill>
      <patternFill patternType="solid">
        <fgColor rgb="FF00FCF8"/>
        <bgColor indexed="64"/>
      </patternFill>
    </fill>
    <fill>
      <patternFill patternType="solid">
        <fgColor rgb="FFE0FCF8"/>
        <bgColor indexed="64"/>
      </patternFill>
    </fill>
    <fill>
      <patternFill patternType="solid">
        <fgColor rgb="FF00CCD0"/>
        <bgColor indexed="64"/>
      </patternFill>
    </fill>
    <fill>
      <patternFill patternType="solid">
        <fgColor rgb="FF48D0C8"/>
        <bgColor indexed="64"/>
      </patternFill>
    </fill>
    <fill>
      <patternFill patternType="solid">
        <fgColor rgb="FFA8ECE8"/>
        <bgColor indexed="64"/>
      </patternFill>
    </fill>
    <fill>
      <patternFill patternType="solid">
        <fgColor rgb="FF78FCD0"/>
        <bgColor indexed="64"/>
      </patternFill>
    </fill>
    <fill>
      <patternFill patternType="solid">
        <fgColor rgb="FFB0E0E0"/>
        <bgColor indexed="64"/>
      </patternFill>
    </fill>
    <fill>
      <patternFill patternType="solid">
        <fgColor rgb="FF589CA0"/>
        <bgColor indexed="64"/>
      </patternFill>
    </fill>
    <fill>
      <patternFill patternType="solid">
        <fgColor rgb="FF4080B0"/>
        <bgColor indexed="64"/>
      </patternFill>
    </fill>
    <fill>
      <patternFill patternType="solid">
        <fgColor rgb="FF6094E8"/>
        <bgColor indexed="64"/>
      </patternFill>
    </fill>
    <fill>
      <patternFill patternType="solid">
        <fgColor rgb="FF00BCF8"/>
        <bgColor indexed="64"/>
      </patternFill>
    </fill>
    <fill>
      <patternFill patternType="solid">
        <fgColor rgb="FF1890F8"/>
        <bgColor indexed="64"/>
      </patternFill>
    </fill>
    <fill>
      <patternFill patternType="solid">
        <fgColor rgb="FFA8D8E0"/>
        <bgColor indexed="64"/>
      </patternFill>
    </fill>
    <fill>
      <patternFill patternType="solid">
        <fgColor rgb="FF80CCE8"/>
        <bgColor indexed="64"/>
      </patternFill>
    </fill>
    <fill>
      <patternFill patternType="solid">
        <fgColor rgb="FF80CCF8"/>
        <bgColor indexed="64"/>
      </patternFill>
    </fill>
    <fill>
      <patternFill patternType="solid">
        <fgColor rgb="FF181870"/>
        <bgColor indexed="64"/>
      </patternFill>
    </fill>
    <fill>
      <patternFill patternType="solid">
        <fgColor rgb="FF000088"/>
        <bgColor indexed="64"/>
      </patternFill>
    </fill>
    <fill>
      <patternFill patternType="solid">
        <fgColor rgb="FF0000C8"/>
        <bgColor indexed="64"/>
      </patternFill>
    </fill>
    <fill>
      <patternFill patternType="solid">
        <fgColor rgb="FF0000F8"/>
        <bgColor indexed="64"/>
      </patternFill>
    </fill>
    <fill>
      <patternFill patternType="solid">
        <fgColor rgb="FF4068E0"/>
        <bgColor indexed="64"/>
      </patternFill>
    </fill>
    <fill>
      <patternFill patternType="solid">
        <fgColor rgb="FF8828E0"/>
        <bgColor indexed="64"/>
      </patternFill>
    </fill>
    <fill>
      <patternFill patternType="solid">
        <fgColor rgb="FF480080"/>
        <bgColor indexed="64"/>
      </patternFill>
    </fill>
    <fill>
      <patternFill patternType="solid">
        <fgColor rgb="FF483C88"/>
        <bgColor indexed="64"/>
      </patternFill>
    </fill>
    <fill>
      <patternFill patternType="solid">
        <fgColor rgb="FF6858C8"/>
        <bgColor indexed="64"/>
      </patternFill>
    </fill>
    <fill>
      <patternFill patternType="solid">
        <fgColor rgb="FF7868E8"/>
        <bgColor indexed="64"/>
      </patternFill>
    </fill>
    <fill>
      <patternFill patternType="solid">
        <fgColor rgb="FF9070D8"/>
        <bgColor indexed="64"/>
      </patternFill>
    </fill>
    <fill>
      <patternFill patternType="solid">
        <fgColor rgb="FF880088"/>
        <bgColor indexed="64"/>
      </patternFill>
    </fill>
    <fill>
      <patternFill patternType="solid">
        <fgColor rgb="FF9000D0"/>
        <bgColor indexed="64"/>
      </patternFill>
    </fill>
    <fill>
      <patternFill patternType="solid">
        <fgColor rgb="FF9830C8"/>
        <bgColor indexed="64"/>
      </patternFill>
    </fill>
    <fill>
      <patternFill patternType="solid">
        <fgColor rgb="FFB854D0"/>
        <bgColor indexed="64"/>
      </patternFill>
    </fill>
    <fill>
      <patternFill patternType="solid">
        <fgColor rgb="FFD8BCD8"/>
        <bgColor indexed="64"/>
      </patternFill>
    </fill>
    <fill>
      <patternFill patternType="solid">
        <fgColor rgb="FFD8A0D8"/>
        <bgColor indexed="64"/>
      </patternFill>
    </fill>
    <fill>
      <patternFill patternType="solid">
        <fgColor rgb="FFE880E8"/>
        <bgColor indexed="64"/>
      </patternFill>
    </fill>
    <fill>
      <patternFill patternType="solid">
        <fgColor rgb="FFF800F8"/>
        <bgColor indexed="64"/>
      </patternFill>
    </fill>
    <fill>
      <patternFill patternType="solid">
        <fgColor rgb="FFD870D0"/>
        <bgColor indexed="64"/>
      </patternFill>
    </fill>
    <fill>
      <patternFill patternType="solid">
        <fgColor rgb="FFC01480"/>
        <bgColor indexed="64"/>
      </patternFill>
    </fill>
    <fill>
      <patternFill patternType="solid">
        <fgColor rgb="FFD87090"/>
        <bgColor indexed="64"/>
      </patternFill>
    </fill>
    <fill>
      <patternFill patternType="solid">
        <fgColor rgb="FFF81490"/>
        <bgColor indexed="64"/>
      </patternFill>
    </fill>
    <fill>
      <patternFill patternType="solid">
        <fgColor rgb="FFF868B0"/>
        <bgColor indexed="64"/>
      </patternFill>
    </fill>
    <fill>
      <patternFill patternType="solid">
        <fgColor rgb="FFF8B4C0"/>
        <bgColor indexed="64"/>
      </patternFill>
    </fill>
    <fill>
      <patternFill patternType="solid">
        <fgColor rgb="FFF8C0C8"/>
        <bgColor indexed="64"/>
      </patternFill>
    </fill>
    <fill>
      <patternFill patternType="solid">
        <fgColor rgb="FFF8E8D0"/>
        <bgColor indexed="64"/>
      </patternFill>
    </fill>
    <fill>
      <patternFill patternType="solid">
        <fgColor rgb="FFF0F4D8"/>
        <bgColor indexed="64"/>
      </patternFill>
    </fill>
    <fill>
      <patternFill patternType="solid">
        <fgColor rgb="FFF8E4C0"/>
        <bgColor indexed="64"/>
      </patternFill>
    </fill>
    <fill>
      <patternFill patternType="solid">
        <fgColor rgb="FFF8E8C8"/>
        <bgColor indexed="64"/>
      </patternFill>
    </fill>
    <fill>
      <patternFill patternType="solid">
        <fgColor rgb="FFF0DCB0"/>
        <bgColor indexed="64"/>
      </patternFill>
    </fill>
    <fill>
      <patternFill patternType="solid">
        <fgColor rgb="FFF8F8D8"/>
        <bgColor indexed="64"/>
      </patternFill>
    </fill>
    <fill>
      <patternFill patternType="solid">
        <fgColor rgb="FFF8F8C8"/>
        <bgColor indexed="64"/>
      </patternFill>
    </fill>
    <fill>
      <patternFill patternType="solid">
        <fgColor rgb="FFF8F8D0"/>
        <bgColor indexed="64"/>
      </patternFill>
    </fill>
    <fill>
      <patternFill patternType="solid">
        <fgColor rgb="FFF8FCE0"/>
        <bgColor indexed="64"/>
      </patternFill>
    </fill>
    <fill>
      <patternFill patternType="solid">
        <fgColor rgb="FF884410"/>
        <bgColor indexed="64"/>
      </patternFill>
    </fill>
    <fill>
      <patternFill patternType="solid">
        <fgColor rgb="FFA05028"/>
        <bgColor indexed="64"/>
      </patternFill>
    </fill>
    <fill>
      <patternFill patternType="solid">
        <fgColor rgb="FFD06818"/>
        <bgColor indexed="64"/>
      </patternFill>
    </fill>
    <fill>
      <patternFill patternType="solid">
        <fgColor rgb="FFC88438"/>
        <bgColor indexed="64"/>
      </patternFill>
    </fill>
    <fill>
      <patternFill patternType="solid">
        <fgColor rgb="FFF0A460"/>
        <bgColor indexed="64"/>
      </patternFill>
    </fill>
    <fill>
      <patternFill patternType="solid">
        <fgColor rgb="FFD8B880"/>
        <bgColor indexed="64"/>
      </patternFill>
    </fill>
    <fill>
      <patternFill patternType="solid">
        <fgColor rgb="FFD0B488"/>
        <bgColor indexed="64"/>
      </patternFill>
    </fill>
    <fill>
      <patternFill patternType="solid">
        <fgColor rgb="FFB88C88"/>
        <bgColor indexed="64"/>
      </patternFill>
    </fill>
    <fill>
      <patternFill patternType="solid">
        <fgColor rgb="FFF8E4B0"/>
        <bgColor indexed="64"/>
      </patternFill>
    </fill>
    <fill>
      <patternFill patternType="solid">
        <fgColor rgb="FFF8DCA8"/>
        <bgColor indexed="64"/>
      </patternFill>
    </fill>
    <fill>
      <patternFill patternType="solid">
        <fgColor rgb="FFF8D8B8"/>
        <bgColor indexed="64"/>
      </patternFill>
    </fill>
    <fill>
      <patternFill patternType="solid">
        <fgColor rgb="FFF8E4E0"/>
        <bgColor indexed="64"/>
      </patternFill>
    </fill>
    <fill>
      <patternFill patternType="solid">
        <fgColor rgb="FFF8F0F0"/>
        <bgColor indexed="64"/>
      </patternFill>
    </fill>
    <fill>
      <patternFill patternType="solid">
        <fgColor rgb="FFF8F0E0"/>
        <bgColor indexed="64"/>
      </patternFill>
    </fill>
    <fill>
      <patternFill patternType="solid">
        <fgColor rgb="FFF8F4E0"/>
        <bgColor indexed="64"/>
      </patternFill>
    </fill>
    <fill>
      <patternFill patternType="solid">
        <fgColor rgb="FFF8ECD0"/>
        <bgColor indexed="64"/>
      </patternFill>
    </fill>
    <fill>
      <patternFill patternType="solid">
        <fgColor rgb="FFF8F4E8"/>
        <bgColor indexed="64"/>
      </patternFill>
    </fill>
    <fill>
      <patternFill patternType="solid">
        <fgColor rgb="FFF0FCF8"/>
        <bgColor indexed="64"/>
      </patternFill>
    </fill>
    <fill>
      <patternFill patternType="solid">
        <fgColor rgb="FF708898"/>
        <bgColor indexed="64"/>
      </patternFill>
    </fill>
    <fill>
      <patternFill patternType="solid">
        <fgColor rgb="FFB0C4D8"/>
        <bgColor indexed="64"/>
      </patternFill>
    </fill>
    <fill>
      <patternFill patternType="solid">
        <fgColor rgb="FFE0E4F8"/>
        <bgColor indexed="64"/>
      </patternFill>
    </fill>
    <fill>
      <patternFill patternType="solid">
        <fgColor rgb="FFF8F8F0"/>
        <bgColor indexed="64"/>
      </patternFill>
    </fill>
    <fill>
      <patternFill patternType="solid">
        <fgColor rgb="FFF0F8F8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0FCF0"/>
        <bgColor indexed="64"/>
      </patternFill>
    </fill>
    <fill>
      <patternFill patternType="solid">
        <fgColor rgb="FFF8FCF0"/>
        <bgColor indexed="64"/>
      </patternFill>
    </fill>
    <fill>
      <patternFill patternType="solid">
        <fgColor rgb="FF686868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D8DCD8"/>
        <bgColor indexed="64"/>
      </patternFill>
    </fill>
    <fill>
      <patternFill patternType="solid">
        <fgColor rgb="FFF0F4F0"/>
        <bgColor indexed="64"/>
      </patternFill>
    </fill>
    <fill>
      <patternFill patternType="solid">
        <fgColor rgb="FFF8FCF8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30">
    <xf numFmtId="0" fontId="0" fillId="0" borderId="0" xfId="0"/>
    <xf numFmtId="0" fontId="3" fillId="0" borderId="0" xfId="0" applyFont="1" applyAlignment="1">
      <alignment vertical="center"/>
    </xf>
    <xf numFmtId="164" fontId="0" fillId="0" borderId="0" xfId="1" applyNumberFormat="1" applyFont="1"/>
    <xf numFmtId="43" fontId="0" fillId="0" borderId="0" xfId="1" applyFont="1"/>
    <xf numFmtId="165" fontId="0" fillId="0" borderId="0" xfId="0" applyNumberFormat="1"/>
    <xf numFmtId="0" fontId="2" fillId="0" borderId="1" xfId="0" applyFont="1" applyBorder="1"/>
    <xf numFmtId="0" fontId="2" fillId="0" borderId="2" xfId="0" applyFont="1" applyBorder="1"/>
    <xf numFmtId="0" fontId="0" fillId="0" borderId="3" xfId="0" applyBorder="1"/>
    <xf numFmtId="0" fontId="2" fillId="0" borderId="4" xfId="0" applyFont="1" applyBorder="1"/>
    <xf numFmtId="0" fontId="2" fillId="0" borderId="3" xfId="0" applyFont="1" applyBorder="1"/>
    <xf numFmtId="0" fontId="4" fillId="0" borderId="2" xfId="0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0" borderId="6" xfId="0" applyFont="1" applyBorder="1"/>
    <xf numFmtId="0" fontId="2" fillId="0" borderId="10" xfId="0" applyFont="1" applyBorder="1"/>
    <xf numFmtId="0" fontId="2" fillId="0" borderId="7" xfId="0" applyFont="1" applyBorder="1"/>
    <xf numFmtId="0" fontId="2" fillId="0" borderId="11" xfId="0" applyFont="1" applyBorder="1"/>
    <xf numFmtId="0" fontId="0" fillId="0" borderId="0" xfId="0" applyAlignment="1">
      <alignment horizontal="center"/>
    </xf>
    <xf numFmtId="0" fontId="2" fillId="0" borderId="0" xfId="0" applyFont="1"/>
    <xf numFmtId="0" fontId="0" fillId="2" borderId="0" xfId="0" applyFill="1"/>
    <xf numFmtId="0" fontId="5" fillId="0" borderId="0" xfId="0" applyFont="1" applyAlignment="1">
      <alignment vertical="center" wrapText="1"/>
    </xf>
    <xf numFmtId="0" fontId="5" fillId="0" borderId="12" xfId="0" applyFont="1" applyBorder="1" applyAlignment="1">
      <alignment vertical="center" wrapText="1"/>
    </xf>
    <xf numFmtId="0" fontId="5" fillId="11" borderId="13" xfId="0" applyFont="1" applyFill="1" applyBorder="1" applyAlignment="1">
      <alignment horizontal="center" vertical="center" wrapText="1"/>
    </xf>
    <xf numFmtId="0" fontId="5" fillId="11" borderId="14" xfId="0" applyFont="1" applyFill="1" applyBorder="1" applyAlignment="1">
      <alignment horizontal="center" vertical="center" wrapText="1"/>
    </xf>
    <xf numFmtId="0" fontId="5" fillId="3" borderId="12" xfId="0" applyFont="1" applyFill="1" applyBorder="1" applyAlignment="1">
      <alignment vertical="center" wrapText="1"/>
    </xf>
    <xf numFmtId="0" fontId="5" fillId="12" borderId="12" xfId="0" applyFont="1" applyFill="1" applyBorder="1" applyAlignment="1">
      <alignment vertical="center" wrapText="1"/>
    </xf>
    <xf numFmtId="3" fontId="5" fillId="0" borderId="12" xfId="0" applyNumberFormat="1" applyFont="1" applyBorder="1" applyAlignment="1">
      <alignment vertical="center" wrapText="1"/>
    </xf>
    <xf numFmtId="0" fontId="5" fillId="4" borderId="12" xfId="0" applyFont="1" applyFill="1" applyBorder="1" applyAlignment="1">
      <alignment vertical="center" wrapText="1"/>
    </xf>
    <xf numFmtId="0" fontId="5" fillId="5" borderId="12" xfId="0" applyFont="1" applyFill="1" applyBorder="1" applyAlignment="1">
      <alignment vertical="center" wrapText="1"/>
    </xf>
    <xf numFmtId="0" fontId="5" fillId="7" borderId="12" xfId="0" applyFont="1" applyFill="1" applyBorder="1" applyAlignment="1">
      <alignment vertical="center" wrapText="1"/>
    </xf>
    <xf numFmtId="0" fontId="5" fillId="2" borderId="12" xfId="0" applyFont="1" applyFill="1" applyBorder="1" applyAlignment="1">
      <alignment vertical="center" wrapText="1"/>
    </xf>
    <xf numFmtId="0" fontId="5" fillId="6" borderId="12" xfId="0" applyFont="1" applyFill="1" applyBorder="1" applyAlignment="1">
      <alignment vertical="center" wrapText="1"/>
    </xf>
    <xf numFmtId="0" fontId="5" fillId="8" borderId="12" xfId="0" applyFont="1" applyFill="1" applyBorder="1" applyAlignment="1">
      <alignment vertical="center" wrapText="1"/>
    </xf>
    <xf numFmtId="0" fontId="5" fillId="10" borderId="12" xfId="0" applyFont="1" applyFill="1" applyBorder="1" applyAlignment="1">
      <alignment vertical="center" wrapText="1"/>
    </xf>
    <xf numFmtId="0" fontId="5" fillId="9" borderId="12" xfId="0" applyFont="1" applyFill="1" applyBorder="1" applyAlignment="1">
      <alignment vertical="center" wrapText="1"/>
    </xf>
    <xf numFmtId="0" fontId="5" fillId="13" borderId="12" xfId="0" applyFont="1" applyFill="1" applyBorder="1" applyAlignment="1">
      <alignment vertical="center" wrapText="1"/>
    </xf>
    <xf numFmtId="0" fontId="5" fillId="14" borderId="12" xfId="0" applyFont="1" applyFill="1" applyBorder="1" applyAlignment="1">
      <alignment vertical="center" wrapText="1"/>
    </xf>
    <xf numFmtId="0" fontId="5" fillId="15" borderId="12" xfId="0" applyFont="1" applyFill="1" applyBorder="1" applyAlignment="1">
      <alignment vertical="center" wrapText="1"/>
    </xf>
    <xf numFmtId="0" fontId="5" fillId="16" borderId="12" xfId="0" applyFont="1" applyFill="1" applyBorder="1" applyAlignment="1">
      <alignment vertical="center" wrapText="1"/>
    </xf>
    <xf numFmtId="0" fontId="5" fillId="17" borderId="12" xfId="0" applyFont="1" applyFill="1" applyBorder="1" applyAlignment="1">
      <alignment vertical="center" wrapText="1"/>
    </xf>
    <xf numFmtId="0" fontId="5" fillId="18" borderId="12" xfId="0" applyFont="1" applyFill="1" applyBorder="1" applyAlignment="1">
      <alignment vertical="center" wrapText="1"/>
    </xf>
    <xf numFmtId="0" fontId="5" fillId="19" borderId="12" xfId="0" applyFont="1" applyFill="1" applyBorder="1" applyAlignment="1">
      <alignment vertical="center" wrapText="1"/>
    </xf>
    <xf numFmtId="0" fontId="5" fillId="20" borderId="12" xfId="0" applyFont="1" applyFill="1" applyBorder="1" applyAlignment="1">
      <alignment vertical="center" wrapText="1"/>
    </xf>
    <xf numFmtId="0" fontId="5" fillId="21" borderId="12" xfId="0" applyFont="1" applyFill="1" applyBorder="1" applyAlignment="1">
      <alignment vertical="center" wrapText="1"/>
    </xf>
    <xf numFmtId="0" fontId="5" fillId="22" borderId="12" xfId="0" applyFont="1" applyFill="1" applyBorder="1" applyAlignment="1">
      <alignment vertical="center" wrapText="1"/>
    </xf>
    <xf numFmtId="0" fontId="5" fillId="23" borderId="12" xfId="0" applyFont="1" applyFill="1" applyBorder="1" applyAlignment="1">
      <alignment vertical="center" wrapText="1"/>
    </xf>
    <xf numFmtId="0" fontId="5" fillId="24" borderId="12" xfId="0" applyFont="1" applyFill="1" applyBorder="1" applyAlignment="1">
      <alignment vertical="center" wrapText="1"/>
    </xf>
    <xf numFmtId="0" fontId="5" fillId="25" borderId="12" xfId="0" applyFont="1" applyFill="1" applyBorder="1" applyAlignment="1">
      <alignment vertical="center" wrapText="1"/>
    </xf>
    <xf numFmtId="0" fontId="5" fillId="26" borderId="12" xfId="0" applyFont="1" applyFill="1" applyBorder="1" applyAlignment="1">
      <alignment vertical="center" wrapText="1"/>
    </xf>
    <xf numFmtId="0" fontId="5" fillId="27" borderId="12" xfId="0" applyFont="1" applyFill="1" applyBorder="1" applyAlignment="1">
      <alignment vertical="center" wrapText="1"/>
    </xf>
    <xf numFmtId="0" fontId="5" fillId="28" borderId="12" xfId="0" applyFont="1" applyFill="1" applyBorder="1" applyAlignment="1">
      <alignment vertical="center" wrapText="1"/>
    </xf>
    <xf numFmtId="0" fontId="5" fillId="29" borderId="12" xfId="0" applyFont="1" applyFill="1" applyBorder="1" applyAlignment="1">
      <alignment vertical="center" wrapText="1"/>
    </xf>
    <xf numFmtId="0" fontId="5" fillId="30" borderId="12" xfId="0" applyFont="1" applyFill="1" applyBorder="1" applyAlignment="1">
      <alignment vertical="center" wrapText="1"/>
    </xf>
    <xf numFmtId="0" fontId="5" fillId="31" borderId="12" xfId="0" applyFont="1" applyFill="1" applyBorder="1" applyAlignment="1">
      <alignment vertical="center" wrapText="1"/>
    </xf>
    <xf numFmtId="0" fontId="5" fillId="32" borderId="12" xfId="0" applyFont="1" applyFill="1" applyBorder="1" applyAlignment="1">
      <alignment vertical="center" wrapText="1"/>
    </xf>
    <xf numFmtId="0" fontId="5" fillId="33" borderId="12" xfId="0" applyFont="1" applyFill="1" applyBorder="1" applyAlignment="1">
      <alignment vertical="center" wrapText="1"/>
    </xf>
    <xf numFmtId="0" fontId="5" fillId="34" borderId="12" xfId="0" applyFont="1" applyFill="1" applyBorder="1" applyAlignment="1">
      <alignment vertical="center" wrapText="1"/>
    </xf>
    <xf numFmtId="0" fontId="5" fillId="35" borderId="12" xfId="0" applyFont="1" applyFill="1" applyBorder="1" applyAlignment="1">
      <alignment vertical="center" wrapText="1"/>
    </xf>
    <xf numFmtId="0" fontId="5" fillId="36" borderId="12" xfId="0" applyFont="1" applyFill="1" applyBorder="1" applyAlignment="1">
      <alignment vertical="center" wrapText="1"/>
    </xf>
    <xf numFmtId="0" fontId="5" fillId="37" borderId="12" xfId="0" applyFont="1" applyFill="1" applyBorder="1" applyAlignment="1">
      <alignment vertical="center" wrapText="1"/>
    </xf>
    <xf numFmtId="0" fontId="5" fillId="38" borderId="12" xfId="0" applyFont="1" applyFill="1" applyBorder="1" applyAlignment="1">
      <alignment vertical="center" wrapText="1"/>
    </xf>
    <xf numFmtId="0" fontId="5" fillId="39" borderId="12" xfId="0" applyFont="1" applyFill="1" applyBorder="1" applyAlignment="1">
      <alignment vertical="center" wrapText="1"/>
    </xf>
    <xf numFmtId="0" fontId="5" fillId="40" borderId="12" xfId="0" applyFont="1" applyFill="1" applyBorder="1" applyAlignment="1">
      <alignment vertical="center" wrapText="1"/>
    </xf>
    <xf numFmtId="0" fontId="5" fillId="41" borderId="12" xfId="0" applyFont="1" applyFill="1" applyBorder="1" applyAlignment="1">
      <alignment vertical="center" wrapText="1"/>
    </xf>
    <xf numFmtId="0" fontId="5" fillId="42" borderId="12" xfId="0" applyFont="1" applyFill="1" applyBorder="1" applyAlignment="1">
      <alignment vertical="center" wrapText="1"/>
    </xf>
    <xf numFmtId="0" fontId="5" fillId="43" borderId="12" xfId="0" applyFont="1" applyFill="1" applyBorder="1" applyAlignment="1">
      <alignment vertical="center" wrapText="1"/>
    </xf>
    <xf numFmtId="0" fontId="5" fillId="44" borderId="12" xfId="0" applyFont="1" applyFill="1" applyBorder="1" applyAlignment="1">
      <alignment vertical="center" wrapText="1"/>
    </xf>
    <xf numFmtId="0" fontId="5" fillId="45" borderId="12" xfId="0" applyFont="1" applyFill="1" applyBorder="1" applyAlignment="1">
      <alignment vertical="center" wrapText="1"/>
    </xf>
    <xf numFmtId="0" fontId="5" fillId="46" borderId="12" xfId="0" applyFont="1" applyFill="1" applyBorder="1" applyAlignment="1">
      <alignment vertical="center" wrapText="1"/>
    </xf>
    <xf numFmtId="0" fontId="5" fillId="47" borderId="12" xfId="0" applyFont="1" applyFill="1" applyBorder="1" applyAlignment="1">
      <alignment vertical="center" wrapText="1"/>
    </xf>
    <xf numFmtId="0" fontId="5" fillId="48" borderId="12" xfId="0" applyFont="1" applyFill="1" applyBorder="1" applyAlignment="1">
      <alignment vertical="center" wrapText="1"/>
    </xf>
    <xf numFmtId="0" fontId="5" fillId="49" borderId="12" xfId="0" applyFont="1" applyFill="1" applyBorder="1" applyAlignment="1">
      <alignment vertical="center" wrapText="1"/>
    </xf>
    <xf numFmtId="0" fontId="5" fillId="50" borderId="12" xfId="0" applyFont="1" applyFill="1" applyBorder="1" applyAlignment="1">
      <alignment vertical="center" wrapText="1"/>
    </xf>
    <xf numFmtId="0" fontId="5" fillId="51" borderId="12" xfId="0" applyFont="1" applyFill="1" applyBorder="1" applyAlignment="1">
      <alignment vertical="center" wrapText="1"/>
    </xf>
    <xf numFmtId="0" fontId="5" fillId="52" borderId="12" xfId="0" applyFont="1" applyFill="1" applyBorder="1" applyAlignment="1">
      <alignment vertical="center" wrapText="1"/>
    </xf>
    <xf numFmtId="0" fontId="5" fillId="53" borderId="12" xfId="0" applyFont="1" applyFill="1" applyBorder="1" applyAlignment="1">
      <alignment vertical="center" wrapText="1"/>
    </xf>
    <xf numFmtId="0" fontId="5" fillId="54" borderId="12" xfId="0" applyFont="1" applyFill="1" applyBorder="1" applyAlignment="1">
      <alignment vertical="center" wrapText="1"/>
    </xf>
    <xf numFmtId="0" fontId="5" fillId="55" borderId="12" xfId="0" applyFont="1" applyFill="1" applyBorder="1" applyAlignment="1">
      <alignment vertical="center" wrapText="1"/>
    </xf>
    <xf numFmtId="0" fontId="5" fillId="56" borderId="12" xfId="0" applyFont="1" applyFill="1" applyBorder="1" applyAlignment="1">
      <alignment vertical="center" wrapText="1"/>
    </xf>
    <xf numFmtId="0" fontId="5" fillId="57" borderId="12" xfId="0" applyFont="1" applyFill="1" applyBorder="1" applyAlignment="1">
      <alignment vertical="center" wrapText="1"/>
    </xf>
    <xf numFmtId="0" fontId="5" fillId="58" borderId="12" xfId="0" applyFont="1" applyFill="1" applyBorder="1" applyAlignment="1">
      <alignment vertical="center" wrapText="1"/>
    </xf>
    <xf numFmtId="0" fontId="5" fillId="59" borderId="12" xfId="0" applyFont="1" applyFill="1" applyBorder="1" applyAlignment="1">
      <alignment vertical="center" wrapText="1"/>
    </xf>
    <xf numFmtId="0" fontId="5" fillId="60" borderId="12" xfId="0" applyFont="1" applyFill="1" applyBorder="1" applyAlignment="1">
      <alignment vertical="center" wrapText="1"/>
    </xf>
    <xf numFmtId="0" fontId="5" fillId="61" borderId="12" xfId="0" applyFont="1" applyFill="1" applyBorder="1" applyAlignment="1">
      <alignment vertical="center" wrapText="1"/>
    </xf>
    <xf numFmtId="0" fontId="5" fillId="62" borderId="12" xfId="0" applyFont="1" applyFill="1" applyBorder="1" applyAlignment="1">
      <alignment vertical="center" wrapText="1"/>
    </xf>
    <xf numFmtId="0" fontId="5" fillId="63" borderId="12" xfId="0" applyFont="1" applyFill="1" applyBorder="1" applyAlignment="1">
      <alignment vertical="center" wrapText="1"/>
    </xf>
    <xf numFmtId="0" fontId="5" fillId="64" borderId="12" xfId="0" applyFont="1" applyFill="1" applyBorder="1" applyAlignment="1">
      <alignment vertical="center" wrapText="1"/>
    </xf>
    <xf numFmtId="0" fontId="5" fillId="65" borderId="12" xfId="0" applyFont="1" applyFill="1" applyBorder="1" applyAlignment="1">
      <alignment vertical="center" wrapText="1"/>
    </xf>
    <xf numFmtId="0" fontId="5" fillId="66" borderId="12" xfId="0" applyFont="1" applyFill="1" applyBorder="1" applyAlignment="1">
      <alignment vertical="center" wrapText="1"/>
    </xf>
    <xf numFmtId="0" fontId="5" fillId="67" borderId="12" xfId="0" applyFont="1" applyFill="1" applyBorder="1" applyAlignment="1">
      <alignment vertical="center" wrapText="1"/>
    </xf>
    <xf numFmtId="0" fontId="5" fillId="68" borderId="12" xfId="0" applyFont="1" applyFill="1" applyBorder="1" applyAlignment="1">
      <alignment vertical="center" wrapText="1"/>
    </xf>
    <xf numFmtId="0" fontId="5" fillId="69" borderId="12" xfId="0" applyFont="1" applyFill="1" applyBorder="1" applyAlignment="1">
      <alignment vertical="center" wrapText="1"/>
    </xf>
    <xf numFmtId="0" fontId="5" fillId="70" borderId="12" xfId="0" applyFont="1" applyFill="1" applyBorder="1" applyAlignment="1">
      <alignment vertical="center" wrapText="1"/>
    </xf>
    <xf numFmtId="0" fontId="5" fillId="71" borderId="12" xfId="0" applyFont="1" applyFill="1" applyBorder="1" applyAlignment="1">
      <alignment vertical="center" wrapText="1"/>
    </xf>
    <xf numFmtId="0" fontId="5" fillId="72" borderId="12" xfId="0" applyFont="1" applyFill="1" applyBorder="1" applyAlignment="1">
      <alignment vertical="center" wrapText="1"/>
    </xf>
    <xf numFmtId="0" fontId="5" fillId="73" borderId="12" xfId="0" applyFont="1" applyFill="1" applyBorder="1" applyAlignment="1">
      <alignment vertical="center" wrapText="1"/>
    </xf>
    <xf numFmtId="0" fontId="5" fillId="74" borderId="12" xfId="0" applyFont="1" applyFill="1" applyBorder="1" applyAlignment="1">
      <alignment vertical="center" wrapText="1"/>
    </xf>
    <xf numFmtId="0" fontId="5" fillId="75" borderId="12" xfId="0" applyFont="1" applyFill="1" applyBorder="1" applyAlignment="1">
      <alignment vertical="center" wrapText="1"/>
    </xf>
    <xf numFmtId="0" fontId="5" fillId="76" borderId="12" xfId="0" applyFont="1" applyFill="1" applyBorder="1" applyAlignment="1">
      <alignment vertical="center" wrapText="1"/>
    </xf>
    <xf numFmtId="0" fontId="5" fillId="77" borderId="12" xfId="0" applyFont="1" applyFill="1" applyBorder="1" applyAlignment="1">
      <alignment vertical="center" wrapText="1"/>
    </xf>
    <xf numFmtId="0" fontId="5" fillId="78" borderId="12" xfId="0" applyFont="1" applyFill="1" applyBorder="1" applyAlignment="1">
      <alignment vertical="center" wrapText="1"/>
    </xf>
    <xf numFmtId="0" fontId="5" fillId="79" borderId="12" xfId="0" applyFont="1" applyFill="1" applyBorder="1" applyAlignment="1">
      <alignment vertical="center" wrapText="1"/>
    </xf>
    <xf numFmtId="0" fontId="5" fillId="80" borderId="12" xfId="0" applyFont="1" applyFill="1" applyBorder="1" applyAlignment="1">
      <alignment vertical="center" wrapText="1"/>
    </xf>
    <xf numFmtId="0" fontId="5" fillId="81" borderId="12" xfId="0" applyFont="1" applyFill="1" applyBorder="1" applyAlignment="1">
      <alignment vertical="center" wrapText="1"/>
    </xf>
    <xf numFmtId="0" fontId="5" fillId="82" borderId="12" xfId="0" applyFont="1" applyFill="1" applyBorder="1" applyAlignment="1">
      <alignment vertical="center" wrapText="1"/>
    </xf>
    <xf numFmtId="0" fontId="5" fillId="83" borderId="12" xfId="0" applyFont="1" applyFill="1" applyBorder="1" applyAlignment="1">
      <alignment vertical="center" wrapText="1"/>
    </xf>
    <xf numFmtId="0" fontId="5" fillId="84" borderId="12" xfId="0" applyFont="1" applyFill="1" applyBorder="1" applyAlignment="1">
      <alignment vertical="center" wrapText="1"/>
    </xf>
    <xf numFmtId="0" fontId="5" fillId="85" borderId="12" xfId="0" applyFont="1" applyFill="1" applyBorder="1" applyAlignment="1">
      <alignment vertical="center" wrapText="1"/>
    </xf>
    <xf numFmtId="0" fontId="5" fillId="86" borderId="12" xfId="0" applyFont="1" applyFill="1" applyBorder="1" applyAlignment="1">
      <alignment vertical="center" wrapText="1"/>
    </xf>
    <xf numFmtId="0" fontId="5" fillId="87" borderId="12" xfId="0" applyFont="1" applyFill="1" applyBorder="1" applyAlignment="1">
      <alignment vertical="center" wrapText="1"/>
    </xf>
    <xf numFmtId="0" fontId="5" fillId="88" borderId="12" xfId="0" applyFont="1" applyFill="1" applyBorder="1" applyAlignment="1">
      <alignment vertical="center" wrapText="1"/>
    </xf>
    <xf numFmtId="0" fontId="5" fillId="89" borderId="12" xfId="0" applyFont="1" applyFill="1" applyBorder="1" applyAlignment="1">
      <alignment vertical="center" wrapText="1"/>
    </xf>
    <xf numFmtId="0" fontId="5" fillId="90" borderId="12" xfId="0" applyFont="1" applyFill="1" applyBorder="1" applyAlignment="1">
      <alignment vertical="center" wrapText="1"/>
    </xf>
    <xf numFmtId="0" fontId="5" fillId="91" borderId="12" xfId="0" applyFont="1" applyFill="1" applyBorder="1" applyAlignment="1">
      <alignment vertical="center" wrapText="1"/>
    </xf>
    <xf numFmtId="0" fontId="5" fillId="92" borderId="12" xfId="0" applyFont="1" applyFill="1" applyBorder="1" applyAlignment="1">
      <alignment vertical="center" wrapText="1"/>
    </xf>
    <xf numFmtId="0" fontId="5" fillId="93" borderId="12" xfId="0" applyFont="1" applyFill="1" applyBorder="1" applyAlignment="1">
      <alignment vertical="center" wrapText="1"/>
    </xf>
    <xf numFmtId="0" fontId="5" fillId="94" borderId="12" xfId="0" applyFont="1" applyFill="1" applyBorder="1" applyAlignment="1">
      <alignment vertical="center" wrapText="1"/>
    </xf>
    <xf numFmtId="0" fontId="5" fillId="95" borderId="12" xfId="0" applyFont="1" applyFill="1" applyBorder="1" applyAlignment="1">
      <alignment vertical="center" wrapText="1"/>
    </xf>
    <xf numFmtId="0" fontId="5" fillId="96" borderId="12" xfId="0" applyFont="1" applyFill="1" applyBorder="1" applyAlignment="1">
      <alignment vertical="center" wrapText="1"/>
    </xf>
    <xf numFmtId="0" fontId="5" fillId="97" borderId="12" xfId="0" applyFont="1" applyFill="1" applyBorder="1" applyAlignment="1">
      <alignment vertical="center" wrapText="1"/>
    </xf>
    <xf numFmtId="0" fontId="5" fillId="98" borderId="12" xfId="0" applyFont="1" applyFill="1" applyBorder="1" applyAlignment="1">
      <alignment vertical="center" wrapText="1"/>
    </xf>
    <xf numFmtId="0" fontId="5" fillId="99" borderId="12" xfId="0" applyFont="1" applyFill="1" applyBorder="1" applyAlignment="1">
      <alignment vertical="center" wrapText="1"/>
    </xf>
    <xf numFmtId="0" fontId="5" fillId="100" borderId="12" xfId="0" applyFont="1" applyFill="1" applyBorder="1" applyAlignment="1">
      <alignment vertical="center" wrapText="1"/>
    </xf>
    <xf numFmtId="0" fontId="5" fillId="101" borderId="12" xfId="0" applyFont="1" applyFill="1" applyBorder="1" applyAlignment="1">
      <alignment vertical="center" wrapText="1"/>
    </xf>
    <xf numFmtId="0" fontId="5" fillId="102" borderId="12" xfId="0" applyFont="1" applyFill="1" applyBorder="1" applyAlignment="1">
      <alignment vertical="center" wrapText="1"/>
    </xf>
    <xf numFmtId="0" fontId="5" fillId="103" borderId="12" xfId="0" applyFont="1" applyFill="1" applyBorder="1" applyAlignment="1">
      <alignment vertical="center" wrapText="1"/>
    </xf>
    <xf numFmtId="0" fontId="5" fillId="104" borderId="12" xfId="0" applyFont="1" applyFill="1" applyBorder="1" applyAlignment="1">
      <alignment vertical="center" wrapText="1"/>
    </xf>
    <xf numFmtId="0" fontId="5" fillId="105" borderId="12" xfId="0" applyFont="1" applyFill="1" applyBorder="1" applyAlignment="1">
      <alignment vertical="center" wrapText="1"/>
    </xf>
    <xf numFmtId="0" fontId="5" fillId="106" borderId="12" xfId="0" applyFont="1" applyFill="1" applyBorder="1" applyAlignment="1">
      <alignment vertical="center" wrapText="1"/>
    </xf>
    <xf numFmtId="0" fontId="5" fillId="107" borderId="12" xfId="0" applyFont="1" applyFill="1" applyBorder="1" applyAlignment="1">
      <alignment vertical="center" wrapText="1"/>
    </xf>
    <xf numFmtId="0" fontId="5" fillId="108" borderId="12" xfId="0" applyFont="1" applyFill="1" applyBorder="1" applyAlignment="1">
      <alignment vertical="center" wrapText="1"/>
    </xf>
    <xf numFmtId="0" fontId="5" fillId="109" borderId="12" xfId="0" applyFont="1" applyFill="1" applyBorder="1" applyAlignment="1">
      <alignment vertical="center" wrapText="1"/>
    </xf>
    <xf numFmtId="0" fontId="5" fillId="110" borderId="12" xfId="0" applyFont="1" applyFill="1" applyBorder="1" applyAlignment="1">
      <alignment vertical="center" wrapText="1"/>
    </xf>
    <xf numFmtId="0" fontId="5" fillId="111" borderId="12" xfId="0" applyFont="1" applyFill="1" applyBorder="1" applyAlignment="1">
      <alignment vertical="center" wrapText="1"/>
    </xf>
    <xf numFmtId="0" fontId="5" fillId="112" borderId="12" xfId="0" applyFont="1" applyFill="1" applyBorder="1" applyAlignment="1">
      <alignment vertical="center" wrapText="1"/>
    </xf>
    <xf numFmtId="0" fontId="5" fillId="113" borderId="12" xfId="0" applyFont="1" applyFill="1" applyBorder="1" applyAlignment="1">
      <alignment vertical="center" wrapText="1"/>
    </xf>
    <xf numFmtId="0" fontId="5" fillId="114" borderId="12" xfId="0" applyFont="1" applyFill="1" applyBorder="1" applyAlignment="1">
      <alignment vertical="center" wrapText="1"/>
    </xf>
    <xf numFmtId="0" fontId="5" fillId="115" borderId="12" xfId="0" applyFont="1" applyFill="1" applyBorder="1" applyAlignment="1">
      <alignment vertical="center" wrapText="1"/>
    </xf>
    <xf numFmtId="0" fontId="5" fillId="116" borderId="12" xfId="0" applyFont="1" applyFill="1" applyBorder="1" applyAlignment="1">
      <alignment vertical="center" wrapText="1"/>
    </xf>
    <xf numFmtId="0" fontId="5" fillId="117" borderId="12" xfId="0" applyFont="1" applyFill="1" applyBorder="1" applyAlignment="1">
      <alignment vertical="center" wrapText="1"/>
    </xf>
    <xf numFmtId="0" fontId="5" fillId="118" borderId="12" xfId="0" applyFont="1" applyFill="1" applyBorder="1" applyAlignment="1">
      <alignment vertical="center" wrapText="1"/>
    </xf>
    <xf numFmtId="0" fontId="5" fillId="119" borderId="12" xfId="0" applyFont="1" applyFill="1" applyBorder="1" applyAlignment="1">
      <alignment vertical="center" wrapText="1"/>
    </xf>
    <xf numFmtId="0" fontId="5" fillId="120" borderId="12" xfId="0" applyFont="1" applyFill="1" applyBorder="1" applyAlignment="1">
      <alignment vertical="center" wrapText="1"/>
    </xf>
    <xf numFmtId="0" fontId="5" fillId="121" borderId="12" xfId="0" applyFont="1" applyFill="1" applyBorder="1" applyAlignment="1">
      <alignment vertical="center" wrapText="1"/>
    </xf>
    <xf numFmtId="0" fontId="5" fillId="122" borderId="12" xfId="0" applyFont="1" applyFill="1" applyBorder="1" applyAlignment="1">
      <alignment vertical="center" wrapText="1"/>
    </xf>
    <xf numFmtId="0" fontId="5" fillId="123" borderId="12" xfId="0" applyFont="1" applyFill="1" applyBorder="1" applyAlignment="1">
      <alignment vertical="center" wrapText="1"/>
    </xf>
    <xf numFmtId="0" fontId="5" fillId="124" borderId="12" xfId="0" applyFont="1" applyFill="1" applyBorder="1" applyAlignment="1">
      <alignment vertical="center" wrapText="1"/>
    </xf>
    <xf numFmtId="0" fontId="5" fillId="125" borderId="12" xfId="0" applyFont="1" applyFill="1" applyBorder="1" applyAlignment="1">
      <alignment vertical="center" wrapText="1"/>
    </xf>
    <xf numFmtId="0" fontId="5" fillId="126" borderId="12" xfId="0" applyFont="1" applyFill="1" applyBorder="1" applyAlignment="1">
      <alignment vertical="center" wrapText="1"/>
    </xf>
    <xf numFmtId="0" fontId="5" fillId="127" borderId="12" xfId="0" applyFont="1" applyFill="1" applyBorder="1" applyAlignment="1">
      <alignment vertical="center" wrapText="1"/>
    </xf>
    <xf numFmtId="0" fontId="5" fillId="128" borderId="12" xfId="0" applyFont="1" applyFill="1" applyBorder="1" applyAlignment="1">
      <alignment vertical="center" wrapText="1"/>
    </xf>
    <xf numFmtId="0" fontId="5" fillId="129" borderId="12" xfId="0" applyFont="1" applyFill="1" applyBorder="1" applyAlignment="1">
      <alignment vertical="center" wrapText="1"/>
    </xf>
    <xf numFmtId="0" fontId="5" fillId="130" borderId="12" xfId="0" applyFont="1" applyFill="1" applyBorder="1" applyAlignment="1">
      <alignment vertical="center" wrapText="1"/>
    </xf>
    <xf numFmtId="0" fontId="5" fillId="131" borderId="12" xfId="0" applyFont="1" applyFill="1" applyBorder="1" applyAlignment="1">
      <alignment vertical="center" wrapText="1"/>
    </xf>
    <xf numFmtId="0" fontId="5" fillId="132" borderId="12" xfId="0" applyFont="1" applyFill="1" applyBorder="1" applyAlignment="1">
      <alignment vertical="center" wrapText="1"/>
    </xf>
    <xf numFmtId="0" fontId="5" fillId="133" borderId="12" xfId="0" applyFont="1" applyFill="1" applyBorder="1" applyAlignment="1">
      <alignment vertical="center" wrapText="1"/>
    </xf>
    <xf numFmtId="0" fontId="5" fillId="134" borderId="12" xfId="0" applyFont="1" applyFill="1" applyBorder="1" applyAlignment="1">
      <alignment vertical="center" wrapText="1"/>
    </xf>
    <xf numFmtId="0" fontId="5" fillId="135" borderId="12" xfId="0" applyFont="1" applyFill="1" applyBorder="1" applyAlignment="1">
      <alignment vertical="center" wrapText="1"/>
    </xf>
    <xf numFmtId="0" fontId="5" fillId="136" borderId="12" xfId="0" applyFont="1" applyFill="1" applyBorder="1" applyAlignment="1">
      <alignment vertical="center" wrapText="1"/>
    </xf>
    <xf numFmtId="0" fontId="5" fillId="137" borderId="12" xfId="0" applyFont="1" applyFill="1" applyBorder="1" applyAlignment="1">
      <alignment vertical="center" wrapText="1"/>
    </xf>
    <xf numFmtId="0" fontId="5" fillId="138" borderId="12" xfId="0" applyFont="1" applyFill="1" applyBorder="1" applyAlignment="1">
      <alignment vertical="center" wrapText="1"/>
    </xf>
    <xf numFmtId="0" fontId="5" fillId="139" borderId="12" xfId="0" applyFont="1" applyFill="1" applyBorder="1" applyAlignment="1">
      <alignment vertical="center" wrapText="1"/>
    </xf>
    <xf numFmtId="0" fontId="5" fillId="140" borderId="12" xfId="0" applyFont="1" applyFill="1" applyBorder="1" applyAlignment="1">
      <alignment vertical="center" wrapText="1"/>
    </xf>
    <xf numFmtId="0" fontId="0" fillId="13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4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14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15" borderId="0" xfId="0" applyFill="1"/>
    <xf numFmtId="0" fontId="0" fillId="46" borderId="0" xfId="0" applyFill="1"/>
    <xf numFmtId="0" fontId="0" fillId="5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17" borderId="0" xfId="0" applyFill="1"/>
    <xf numFmtId="0" fontId="0" fillId="58" borderId="0" xfId="0" applyFill="1"/>
    <xf numFmtId="0" fontId="0" fillId="6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18" borderId="0" xfId="0" applyFill="1"/>
    <xf numFmtId="0" fontId="0" fillId="75" borderId="0" xfId="0" applyFill="1"/>
    <xf numFmtId="0" fontId="0" fillId="76" borderId="0" xfId="0" applyFill="1"/>
    <xf numFmtId="0" fontId="0" fillId="7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16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8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3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5" borderId="0" xfId="0" applyFill="1"/>
    <xf numFmtId="0" fontId="0" fillId="132" borderId="0" xfId="0" applyFill="1"/>
    <xf numFmtId="0" fontId="0" fillId="133" borderId="0" xfId="0" applyFill="1"/>
    <xf numFmtId="0" fontId="0" fillId="3" borderId="0" xfId="0" applyFill="1"/>
    <xf numFmtId="0" fontId="0" fillId="136" borderId="0" xfId="0" applyFill="1"/>
    <xf numFmtId="0" fontId="0" fillId="9" borderId="0" xfId="0" applyFill="1"/>
    <xf numFmtId="0" fontId="0" fillId="137" borderId="0" xfId="0" applyFill="1"/>
    <xf numFmtId="0" fontId="0" fillId="10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2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0" borderId="5" xfId="0" applyBorder="1" applyAlignment="1">
      <alignment horizontal="center"/>
    </xf>
    <xf numFmtId="0" fontId="5" fillId="11" borderId="13" xfId="0" applyFont="1" applyFill="1" applyBorder="1" applyAlignment="1">
      <alignment horizontal="center" vertical="center" wrapText="1"/>
    </xf>
    <xf numFmtId="0" fontId="5" fillId="11" borderId="14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B8755C8-E0BF-4E31-B0FD-2EDD63A29EB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5512D11A-5CC6-11CF-8D67-00AA00BDCE1D}" r:id="rId1"/>
</file>

<file path=xl/activeX/activeX2.xml><?xml version="1.0" encoding="utf-8"?>
<ax:ocx xmlns:ax="http://schemas.microsoft.com/office/2006/activeX" xmlns:r="http://schemas.openxmlformats.org/officeDocument/2006/relationships" ax:classid="{5512D11A-5CC6-11CF-8D67-00AA00BDCE1D}" r:id="rId1"/>
</file>

<file path=xl/activeX/activeX3.xml><?xml version="1.0" encoding="utf-8"?>
<ax:ocx xmlns:ax="http://schemas.microsoft.com/office/2006/activeX" xmlns:r="http://schemas.openxmlformats.org/officeDocument/2006/relationships" ax:classid="{5512D11A-5CC6-11CF-8D67-00AA00BDCE1D}" r:id="rId1"/>
</file>

<file path=xl/activeX/activeX4.xml><?xml version="1.0" encoding="utf-8"?>
<ax:ocx xmlns:ax="http://schemas.microsoft.com/office/2006/activeX" xmlns:r="http://schemas.openxmlformats.org/officeDocument/2006/relationships" ax:classid="{5512D11A-5CC6-11CF-8D67-00AA00BDCE1D}" r:id="rId1"/>
</file>

<file path=xl/activeX/activeX5.xml><?xml version="1.0" encoding="utf-8"?>
<ax:ocx xmlns:ax="http://schemas.microsoft.com/office/2006/activeX" xmlns:r="http://schemas.openxmlformats.org/officeDocument/2006/relationships" ax:classid="{5512D11A-5CC6-11CF-8D67-00AA00BDCE1D}" r:id="rId1"/>
</file>

<file path=xl/activeX/activeX6.xml><?xml version="1.0" encoding="utf-8"?>
<ax:ocx xmlns:ax="http://schemas.microsoft.com/office/2006/activeX" xmlns:r="http://schemas.openxmlformats.org/officeDocument/2006/relationships" ax:classid="{5512D11A-5CC6-11CF-8D67-00AA00BDCE1D}" r:id="rId1"/>
</file>

<file path=xl/activeX/activeX7.xml><?xml version="1.0" encoding="utf-8"?>
<ax:ocx xmlns:ax="http://schemas.microsoft.com/office/2006/activeX" xmlns:r="http://schemas.openxmlformats.org/officeDocument/2006/relationships" ax:classid="{5512D11A-5CC6-11CF-8D67-00AA00BDCE1D}" r:id="rId1"/>
</file>

<file path=xl/activeX/activeX8.xml><?xml version="1.0" encoding="utf-8"?>
<ax:ocx xmlns:ax="http://schemas.microsoft.com/office/2006/activeX" xmlns:r="http://schemas.openxmlformats.org/officeDocument/2006/relationships" ax:classid="{5512D11A-5CC6-11CF-8D67-00AA00BDCE1D}" r:id="rId1"/>
</file>

<file path=xl/activeX/activeX9.xml><?xml version="1.0" encoding="utf-8"?>
<ax:ocx xmlns:ax="http://schemas.microsoft.com/office/2006/activeX" xmlns:r="http://schemas.openxmlformats.org/officeDocument/2006/relationships" ax:classid="{5512D11A-5CC6-11CF-8D67-00AA00BDCE1D}" r:id="rId1"/>
</file>

<file path=xl/activeX/activeX10.xml><?xml version="1.0" encoding="utf-8"?>
<ax:ocx xmlns:ax="http://schemas.microsoft.com/office/2006/activeX" xmlns:r="http://schemas.openxmlformats.org/officeDocument/2006/relationships" ax:classid="{5512D11A-5CC6-11CF-8D67-00AA00BDCE1D}" r:id="rId1"/>
</file>

<file path=xl/activeX/activeX11.xml><?xml version="1.0" encoding="utf-8"?>
<ax:ocx xmlns:ax="http://schemas.microsoft.com/office/2006/activeX" xmlns:r="http://schemas.openxmlformats.org/officeDocument/2006/relationships" ax:classid="{5512D11A-5CC6-11CF-8D67-00AA00BDCE1D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23</xdr:row>
      <xdr:rowOff>0</xdr:rowOff>
    </xdr:from>
    <xdr:to>
      <xdr:col>0</xdr:col>
      <xdr:colOff>104775</xdr:colOff>
      <xdr:row>23</xdr:row>
      <xdr:rowOff>104775</xdr:rowOff>
    </xdr:to>
    <xdr:pic>
      <xdr:nvPicPr>
        <xdr:cNvPr id="2" name="Picture 1" descr="https://www.rapidtables.com/lib/yui/2.9.0/picker_thumb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44150"/>
          <a:ext cx="104775" cy="104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171450</xdr:colOff>
      <xdr:row>23</xdr:row>
      <xdr:rowOff>171450</xdr:rowOff>
    </xdr:to>
    <xdr:pic>
      <xdr:nvPicPr>
        <xdr:cNvPr id="3" name="Picture 2" descr="https://www.rapidtables.com/lib/yui/2.9.0/hue_thumb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534650"/>
          <a:ext cx="17145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495300</xdr:colOff>
          <xdr:row>24</xdr:row>
          <xdr:rowOff>30480</xdr:rowOff>
        </xdr:to>
        <xdr:sp macro="" textlink="">
          <xdr:nvSpPr>
            <xdr:cNvPr id="2051" name="Control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495300</xdr:colOff>
          <xdr:row>24</xdr:row>
          <xdr:rowOff>30480</xdr:rowOff>
        </xdr:to>
        <xdr:sp macro="" textlink="">
          <xdr:nvSpPr>
            <xdr:cNvPr id="2052" name="Control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495300</xdr:colOff>
          <xdr:row>24</xdr:row>
          <xdr:rowOff>30480</xdr:rowOff>
        </xdr:to>
        <xdr:sp macro="" textlink="">
          <xdr:nvSpPr>
            <xdr:cNvPr id="2053" name="Control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495300</xdr:colOff>
          <xdr:row>24</xdr:row>
          <xdr:rowOff>30480</xdr:rowOff>
        </xdr:to>
        <xdr:sp macro="" textlink="">
          <xdr:nvSpPr>
            <xdr:cNvPr id="2054" name="Control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495300</xdr:colOff>
          <xdr:row>24</xdr:row>
          <xdr:rowOff>30480</xdr:rowOff>
        </xdr:to>
        <xdr:sp macro="" textlink="">
          <xdr:nvSpPr>
            <xdr:cNvPr id="2055" name="Control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495300</xdr:colOff>
          <xdr:row>24</xdr:row>
          <xdr:rowOff>30480</xdr:rowOff>
        </xdr:to>
        <xdr:sp macro="" textlink="">
          <xdr:nvSpPr>
            <xdr:cNvPr id="2056" name="Control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670560</xdr:colOff>
          <xdr:row>24</xdr:row>
          <xdr:rowOff>30480</xdr:rowOff>
        </xdr:to>
        <xdr:sp macro="" textlink="">
          <xdr:nvSpPr>
            <xdr:cNvPr id="2057" name="Control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1</xdr:col>
          <xdr:colOff>914400</xdr:colOff>
          <xdr:row>24</xdr:row>
          <xdr:rowOff>30480</xdr:rowOff>
        </xdr:to>
        <xdr:sp macro="" textlink="">
          <xdr:nvSpPr>
            <xdr:cNvPr id="2058" name="Control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1</xdr:col>
          <xdr:colOff>914400</xdr:colOff>
          <xdr:row>24</xdr:row>
          <xdr:rowOff>30480</xdr:rowOff>
        </xdr:to>
        <xdr:sp macro="" textlink="">
          <xdr:nvSpPr>
            <xdr:cNvPr id="2059" name="Control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1</xdr:col>
          <xdr:colOff>914400</xdr:colOff>
          <xdr:row>24</xdr:row>
          <xdr:rowOff>30480</xdr:rowOff>
        </xdr:to>
        <xdr:sp macro="" textlink="">
          <xdr:nvSpPr>
            <xdr:cNvPr id="2060" name="Control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1</xdr:col>
          <xdr:colOff>914400</xdr:colOff>
          <xdr:row>24</xdr:row>
          <xdr:rowOff>30480</xdr:rowOff>
        </xdr:to>
        <xdr:sp macro="" textlink="">
          <xdr:nvSpPr>
            <xdr:cNvPr id="2061" name="Control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image" Target="../media/image2.emf"/><Relationship Id="rId17" Type="http://schemas.openxmlformats.org/officeDocument/2006/relationships/control" Target="../activeX/activeX1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image" Target="../media/image1.emf"/><Relationship Id="rId15" Type="http://schemas.openxmlformats.org/officeDocument/2006/relationships/control" Target="../activeX/activeX9.xml"/><Relationship Id="rId10" Type="http://schemas.openxmlformats.org/officeDocument/2006/relationships/control" Target="../activeX/activeX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49"/>
  <sheetViews>
    <sheetView workbookViewId="0">
      <selection activeCell="B40" sqref="B40"/>
    </sheetView>
  </sheetViews>
  <sheetFormatPr defaultRowHeight="14.4"/>
  <cols>
    <col min="1" max="1" width="22.88671875" bestFit="1" customWidth="1"/>
    <col min="2" max="2" width="14.33203125" bestFit="1" customWidth="1"/>
    <col min="3" max="3" width="2" bestFit="1" customWidth="1"/>
    <col min="4" max="4" width="9.44140625" bestFit="1" customWidth="1"/>
    <col min="5" max="5" width="2" bestFit="1" customWidth="1"/>
    <col min="6" max="6" width="28.44140625" bestFit="1" customWidth="1"/>
    <col min="7" max="8" width="5" bestFit="1" customWidth="1"/>
    <col min="9" max="9" width="2" customWidth="1"/>
    <col min="10" max="10" width="22.5546875" bestFit="1" customWidth="1"/>
    <col min="12" max="12" width="14" bestFit="1" customWidth="1"/>
    <col min="13" max="13" width="9.44140625" bestFit="1" customWidth="1"/>
    <col min="14" max="14" width="6.88671875" bestFit="1" customWidth="1"/>
    <col min="15" max="15" width="14" bestFit="1" customWidth="1"/>
    <col min="16" max="16" width="23.5546875" bestFit="1" customWidth="1"/>
    <col min="21" max="21" width="16.88671875" bestFit="1" customWidth="1"/>
  </cols>
  <sheetData>
    <row r="1" spans="1:21">
      <c r="A1" s="1" t="s">
        <v>0</v>
      </c>
      <c r="B1" t="s">
        <v>2</v>
      </c>
      <c r="C1" t="s">
        <v>1</v>
      </c>
      <c r="D1" s="23" t="s">
        <v>4</v>
      </c>
      <c r="E1" t="s">
        <v>1</v>
      </c>
      <c r="F1" t="s">
        <v>6</v>
      </c>
      <c r="H1" t="s">
        <v>1</v>
      </c>
      <c r="J1" t="s">
        <v>5</v>
      </c>
    </row>
    <row r="2" spans="1:21">
      <c r="B2" s="23" t="s">
        <v>3</v>
      </c>
      <c r="D2" t="s">
        <v>2</v>
      </c>
    </row>
    <row r="3" spans="1:21" ht="15" thickBot="1">
      <c r="K3" s="426" t="s">
        <v>26</v>
      </c>
      <c r="L3" s="426"/>
      <c r="M3" s="426" t="s">
        <v>36</v>
      </c>
      <c r="N3" s="426"/>
      <c r="O3" s="426" t="s">
        <v>19</v>
      </c>
      <c r="P3" s="426"/>
      <c r="Q3" s="426"/>
      <c r="R3" t="s">
        <v>18</v>
      </c>
    </row>
    <row r="4" spans="1:21">
      <c r="B4" t="s">
        <v>26</v>
      </c>
      <c r="D4" t="s">
        <v>32</v>
      </c>
      <c r="K4" s="11" t="s">
        <v>2</v>
      </c>
      <c r="L4" s="13"/>
      <c r="M4" s="12" t="s">
        <v>4</v>
      </c>
      <c r="N4" s="13"/>
      <c r="O4" s="11" t="s">
        <v>29</v>
      </c>
      <c r="P4" s="12"/>
      <c r="Q4" s="13"/>
      <c r="R4" t="s">
        <v>18</v>
      </c>
    </row>
    <row r="5" spans="1:21" ht="15" thickBot="1">
      <c r="K5" s="14"/>
      <c r="L5" s="16" t="s">
        <v>3</v>
      </c>
      <c r="M5" s="15"/>
      <c r="N5" s="16" t="s">
        <v>2</v>
      </c>
      <c r="O5" s="14"/>
      <c r="P5" s="15" t="s">
        <v>16</v>
      </c>
      <c r="Q5" s="16" t="s">
        <v>2</v>
      </c>
    </row>
    <row r="6" spans="1:21">
      <c r="F6" s="4"/>
      <c r="K6" s="5" t="s">
        <v>8</v>
      </c>
      <c r="L6" s="10" t="s">
        <v>28</v>
      </c>
      <c r="M6" s="5" t="s">
        <v>8</v>
      </c>
      <c r="N6" s="6" t="s">
        <v>27</v>
      </c>
      <c r="O6" s="17" t="s">
        <v>31</v>
      </c>
      <c r="P6" s="19" t="s">
        <v>8</v>
      </c>
      <c r="Q6" s="13" t="s">
        <v>11</v>
      </c>
      <c r="R6" s="22" t="s">
        <v>9</v>
      </c>
    </row>
    <row r="7" spans="1:21" ht="15" thickBot="1">
      <c r="F7" s="4"/>
      <c r="K7" s="9" t="s">
        <v>27</v>
      </c>
      <c r="L7" s="8" t="s">
        <v>8</v>
      </c>
      <c r="M7" s="7" t="s">
        <v>33</v>
      </c>
      <c r="N7" s="8" t="s">
        <v>8</v>
      </c>
      <c r="O7" s="14"/>
      <c r="P7" s="18" t="s">
        <v>33</v>
      </c>
      <c r="Q7" s="20" t="s">
        <v>8</v>
      </c>
    </row>
    <row r="8" spans="1:21">
      <c r="A8" t="s">
        <v>14</v>
      </c>
      <c r="B8">
        <v>360</v>
      </c>
      <c r="D8" t="s">
        <v>10</v>
      </c>
    </row>
    <row r="9" spans="1:21">
      <c r="L9" t="s">
        <v>9</v>
      </c>
      <c r="N9" t="s">
        <v>11</v>
      </c>
      <c r="P9" t="s">
        <v>25</v>
      </c>
      <c r="R9" t="s">
        <v>9</v>
      </c>
      <c r="S9" t="s">
        <v>37</v>
      </c>
      <c r="U9" t="s">
        <v>34</v>
      </c>
    </row>
    <row r="10" spans="1:21">
      <c r="N10" t="s">
        <v>33</v>
      </c>
      <c r="S10" t="s">
        <v>33</v>
      </c>
      <c r="U10" t="s">
        <v>35</v>
      </c>
    </row>
    <row r="11" spans="1:21">
      <c r="A11" t="s">
        <v>2</v>
      </c>
      <c r="B11">
        <f>F11/1000000</f>
        <v>1.25E-3</v>
      </c>
      <c r="D11" t="s">
        <v>8</v>
      </c>
      <c r="F11">
        <v>1250</v>
      </c>
      <c r="G11" t="s">
        <v>7</v>
      </c>
    </row>
    <row r="12" spans="1:21">
      <c r="D12" t="s">
        <v>11</v>
      </c>
      <c r="G12" t="s">
        <v>11</v>
      </c>
    </row>
    <row r="14" spans="1:21">
      <c r="A14" t="s">
        <v>23</v>
      </c>
      <c r="B14">
        <f>1/B11</f>
        <v>800</v>
      </c>
      <c r="D14" t="s">
        <v>11</v>
      </c>
    </row>
    <row r="15" spans="1:21">
      <c r="D15" t="s">
        <v>8</v>
      </c>
    </row>
    <row r="17" spans="1:7">
      <c r="A17" t="s">
        <v>3</v>
      </c>
      <c r="B17">
        <f>F17/1000000</f>
        <v>2.5000000000000001E-5</v>
      </c>
      <c r="D17" t="s">
        <v>8</v>
      </c>
      <c r="F17">
        <v>25</v>
      </c>
      <c r="G17" t="s">
        <v>7</v>
      </c>
    </row>
    <row r="19" spans="1:7">
      <c r="A19" t="s">
        <v>26</v>
      </c>
      <c r="B19">
        <f>B17/B11</f>
        <v>0.02</v>
      </c>
      <c r="D19" t="s">
        <v>9</v>
      </c>
    </row>
    <row r="23" spans="1:7">
      <c r="A23" t="s">
        <v>22</v>
      </c>
      <c r="B23">
        <v>18</v>
      </c>
      <c r="D23" t="s">
        <v>30</v>
      </c>
      <c r="F23">
        <f>Az_Beam_Width/Round</f>
        <v>0.05</v>
      </c>
      <c r="G23" t="s">
        <v>15</v>
      </c>
    </row>
    <row r="25" spans="1:7">
      <c r="A25" t="s">
        <v>12</v>
      </c>
      <c r="B25">
        <f>F25/Round</f>
        <v>2.7777777777777776E-2</v>
      </c>
      <c r="C25" t="s">
        <v>13</v>
      </c>
      <c r="D25" t="s">
        <v>8</v>
      </c>
      <c r="F25">
        <v>10</v>
      </c>
      <c r="G25" t="s">
        <v>8</v>
      </c>
    </row>
    <row r="26" spans="1:7">
      <c r="D26" t="s">
        <v>30</v>
      </c>
      <c r="G26" t="s">
        <v>14</v>
      </c>
    </row>
    <row r="28" spans="1:7">
      <c r="A28" t="s">
        <v>16</v>
      </c>
      <c r="B28">
        <f>1/Scan_Time</f>
        <v>36</v>
      </c>
      <c r="D28" t="s">
        <v>31</v>
      </c>
      <c r="F28">
        <v>36</v>
      </c>
      <c r="G28" t="s">
        <v>15</v>
      </c>
    </row>
    <row r="29" spans="1:7">
      <c r="D29" t="s">
        <v>8</v>
      </c>
      <c r="G29" t="s">
        <v>8</v>
      </c>
    </row>
    <row r="32" spans="1:7">
      <c r="A32" t="s">
        <v>32</v>
      </c>
      <c r="B32">
        <f>B25/B11</f>
        <v>22.222222222222221</v>
      </c>
      <c r="D32" t="s">
        <v>9</v>
      </c>
    </row>
    <row r="36" spans="1:6">
      <c r="A36" t="s">
        <v>17</v>
      </c>
      <c r="B36">
        <v>0.1</v>
      </c>
      <c r="D36" t="s">
        <v>9</v>
      </c>
    </row>
    <row r="38" spans="1:6">
      <c r="A38" t="s">
        <v>20</v>
      </c>
      <c r="B38">
        <v>32</v>
      </c>
      <c r="D38" t="s">
        <v>25</v>
      </c>
    </row>
    <row r="40" spans="1:6">
      <c r="A40" t="s">
        <v>21</v>
      </c>
      <c r="B40">
        <f>B23/B28/B11</f>
        <v>400</v>
      </c>
      <c r="D40" t="s">
        <v>25</v>
      </c>
    </row>
    <row r="42" spans="1:6">
      <c r="A42" t="s">
        <v>19</v>
      </c>
      <c r="B42">
        <f>MAX(B38:B40)</f>
        <v>400</v>
      </c>
      <c r="D42" t="s">
        <v>25</v>
      </c>
    </row>
    <row r="46" spans="1:6">
      <c r="A46" t="s">
        <v>24</v>
      </c>
      <c r="B46" s="3">
        <f>B11/B17*B25/B11/B42*B36</f>
        <v>0.27777777777777779</v>
      </c>
      <c r="D46" t="s">
        <v>38</v>
      </c>
      <c r="F46" s="2">
        <f>Duty_Cycle*Pulses_Scan</f>
        <v>0.44444444444444442</v>
      </c>
    </row>
    <row r="47" spans="1:6">
      <c r="B47" s="2"/>
      <c r="D47" t="s">
        <v>30</v>
      </c>
    </row>
    <row r="48" spans="1:6">
      <c r="B48" s="2">
        <f>NFT*Round</f>
        <v>100</v>
      </c>
      <c r="D48" t="s">
        <v>38</v>
      </c>
    </row>
    <row r="49" spans="4:4">
      <c r="D49" t="s">
        <v>14</v>
      </c>
    </row>
  </sheetData>
  <mergeCells count="3">
    <mergeCell ref="K3:L3"/>
    <mergeCell ref="M3:N3"/>
    <mergeCell ref="O3:Q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X165"/>
  <sheetViews>
    <sheetView tabSelected="1" topLeftCell="A21" zoomScale="145" zoomScaleNormal="145" workbookViewId="0">
      <selection activeCell="B57" sqref="B57"/>
    </sheetView>
  </sheetViews>
  <sheetFormatPr defaultRowHeight="14.4"/>
  <cols>
    <col min="1" max="1" width="12" bestFit="1" customWidth="1"/>
    <col min="2" max="2" width="25.44140625" customWidth="1"/>
    <col min="3" max="3" width="15" customWidth="1"/>
    <col min="4" max="4" width="14.88671875" bestFit="1" customWidth="1"/>
    <col min="7" max="9" width="9" bestFit="1" customWidth="1"/>
    <col min="24" max="24" width="32.5546875" bestFit="1" customWidth="1"/>
  </cols>
  <sheetData>
    <row r="1" spans="1:22">
      <c r="C1" s="429" t="s">
        <v>63</v>
      </c>
      <c r="D1" s="429"/>
      <c r="E1" s="429"/>
      <c r="G1" s="429" t="s">
        <v>62</v>
      </c>
      <c r="H1" s="429"/>
      <c r="I1" s="429"/>
      <c r="K1" s="429" t="s">
        <v>64</v>
      </c>
      <c r="L1" s="429"/>
      <c r="M1" s="429"/>
      <c r="O1" s="429" t="s">
        <v>65</v>
      </c>
      <c r="P1" s="429"/>
      <c r="Q1" s="429"/>
    </row>
    <row r="2" spans="1:22">
      <c r="A2" t="s">
        <v>40</v>
      </c>
      <c r="B2" t="str">
        <f t="shared" ref="B2:B20" si="0">UPPER(A2)</f>
        <v>BLUE</v>
      </c>
      <c r="C2">
        <v>0</v>
      </c>
      <c r="D2">
        <v>168</v>
      </c>
      <c r="E2">
        <v>220</v>
      </c>
      <c r="G2" t="str">
        <f t="shared" ref="G2:G20" si="1">DEC2BIN(C2,8)</f>
        <v>00000000</v>
      </c>
      <c r="H2" t="str">
        <f t="shared" ref="H2:H20" si="2">DEC2BIN(D2,8)</f>
        <v>10101000</v>
      </c>
      <c r="I2" t="str">
        <f t="shared" ref="I2:I20" si="3">DEC2BIN(E2,8)</f>
        <v>11011100</v>
      </c>
      <c r="K2" t="str">
        <f t="shared" ref="K2:K20" si="4">LEFT(G2,5)</f>
        <v>00000</v>
      </c>
      <c r="L2" t="str">
        <f t="shared" ref="L2:L20" si="5">LEFT(H2,6)</f>
        <v>101010</v>
      </c>
      <c r="M2" t="str">
        <f t="shared" ref="M2:M14" si="6">LEFT(I2,5)</f>
        <v>11011</v>
      </c>
      <c r="O2">
        <f t="shared" ref="O2:O20" si="7">BIN2DEC(K2)</f>
        <v>0</v>
      </c>
      <c r="P2">
        <f t="shared" ref="P2:P20" si="8">BIN2DEC(L2)</f>
        <v>42</v>
      </c>
      <c r="Q2">
        <f t="shared" ref="Q2:Q20" si="9">BIN2DEC(M2)</f>
        <v>27</v>
      </c>
      <c r="S2">
        <f t="shared" ref="S2:S20" si="10">O2*2048</f>
        <v>0</v>
      </c>
      <c r="T2">
        <f t="shared" ref="T2:T20" si="11">P2*32</f>
        <v>1344</v>
      </c>
      <c r="U2">
        <f t="shared" ref="U2:U20" si="12">Q2</f>
        <v>27</v>
      </c>
      <c r="V2">
        <f t="shared" ref="V2:V20" si="13">S2+T2+U2</f>
        <v>1371</v>
      </c>
    </row>
    <row r="3" spans="1:22">
      <c r="A3" t="s">
        <v>41</v>
      </c>
      <c r="B3" t="str">
        <f t="shared" si="0"/>
        <v>BROWN</v>
      </c>
      <c r="C3">
        <v>61</v>
      </c>
      <c r="D3">
        <v>33</v>
      </c>
      <c r="E3">
        <v>0</v>
      </c>
      <c r="G3" t="str">
        <f t="shared" si="1"/>
        <v>00111101</v>
      </c>
      <c r="H3" t="str">
        <f t="shared" si="2"/>
        <v>00100001</v>
      </c>
      <c r="I3" t="str">
        <f t="shared" si="3"/>
        <v>00000000</v>
      </c>
      <c r="K3" t="str">
        <f t="shared" si="4"/>
        <v>00111</v>
      </c>
      <c r="L3" t="str">
        <f t="shared" si="5"/>
        <v>001000</v>
      </c>
      <c r="M3" t="str">
        <f t="shared" si="6"/>
        <v>00000</v>
      </c>
      <c r="O3">
        <f t="shared" si="7"/>
        <v>7</v>
      </c>
      <c r="P3">
        <f t="shared" si="8"/>
        <v>8</v>
      </c>
      <c r="Q3">
        <f t="shared" si="9"/>
        <v>0</v>
      </c>
      <c r="S3">
        <f t="shared" si="10"/>
        <v>14336</v>
      </c>
      <c r="T3">
        <f t="shared" si="11"/>
        <v>256</v>
      </c>
      <c r="U3">
        <f t="shared" si="12"/>
        <v>0</v>
      </c>
      <c r="V3">
        <f t="shared" si="13"/>
        <v>14592</v>
      </c>
    </row>
    <row r="4" spans="1:22">
      <c r="A4" t="s">
        <v>42</v>
      </c>
      <c r="B4" t="str">
        <f t="shared" si="0"/>
        <v>DARK_BLUE</v>
      </c>
      <c r="C4">
        <v>0</v>
      </c>
      <c r="D4">
        <v>107</v>
      </c>
      <c r="E4">
        <v>140</v>
      </c>
      <c r="G4" t="str">
        <f t="shared" si="1"/>
        <v>00000000</v>
      </c>
      <c r="H4" t="str">
        <f t="shared" si="2"/>
        <v>01101011</v>
      </c>
      <c r="I4" t="str">
        <f t="shared" si="3"/>
        <v>10001100</v>
      </c>
      <c r="K4" t="str">
        <f t="shared" si="4"/>
        <v>00000</v>
      </c>
      <c r="L4" t="str">
        <f t="shared" si="5"/>
        <v>011010</v>
      </c>
      <c r="M4" t="str">
        <f t="shared" si="6"/>
        <v>10001</v>
      </c>
      <c r="O4">
        <f t="shared" si="7"/>
        <v>0</v>
      </c>
      <c r="P4">
        <f t="shared" si="8"/>
        <v>26</v>
      </c>
      <c r="Q4">
        <f t="shared" si="9"/>
        <v>17</v>
      </c>
      <c r="S4">
        <f t="shared" si="10"/>
        <v>0</v>
      </c>
      <c r="T4">
        <f t="shared" si="11"/>
        <v>832</v>
      </c>
      <c r="U4">
        <f t="shared" si="12"/>
        <v>17</v>
      </c>
      <c r="V4">
        <f t="shared" si="13"/>
        <v>849</v>
      </c>
    </row>
    <row r="5" spans="1:22">
      <c r="A5" t="s">
        <v>43</v>
      </c>
      <c r="B5" t="str">
        <f t="shared" si="0"/>
        <v>DARK_GREEN</v>
      </c>
      <c r="C5">
        <v>0</v>
      </c>
      <c r="D5">
        <v>160</v>
      </c>
      <c r="E5">
        <v>0</v>
      </c>
      <c r="G5" t="str">
        <f t="shared" si="1"/>
        <v>00000000</v>
      </c>
      <c r="H5" t="str">
        <f t="shared" si="2"/>
        <v>10100000</v>
      </c>
      <c r="I5" t="str">
        <f t="shared" si="3"/>
        <v>00000000</v>
      </c>
      <c r="K5" t="str">
        <f t="shared" si="4"/>
        <v>00000</v>
      </c>
      <c r="L5" t="str">
        <f t="shared" si="5"/>
        <v>101000</v>
      </c>
      <c r="M5" t="str">
        <f t="shared" si="6"/>
        <v>00000</v>
      </c>
      <c r="O5">
        <f t="shared" si="7"/>
        <v>0</v>
      </c>
      <c r="P5">
        <f t="shared" si="8"/>
        <v>40</v>
      </c>
      <c r="Q5">
        <f t="shared" si="9"/>
        <v>0</v>
      </c>
      <c r="S5">
        <f t="shared" si="10"/>
        <v>0</v>
      </c>
      <c r="T5">
        <f t="shared" si="11"/>
        <v>1280</v>
      </c>
      <c r="U5">
        <f t="shared" si="12"/>
        <v>0</v>
      </c>
      <c r="V5">
        <f t="shared" si="13"/>
        <v>1280</v>
      </c>
    </row>
    <row r="6" spans="1:22">
      <c r="A6" t="s">
        <v>44</v>
      </c>
      <c r="B6" t="str">
        <f t="shared" si="0"/>
        <v>DARK_PURPLE</v>
      </c>
      <c r="C6">
        <v>80</v>
      </c>
      <c r="D6">
        <v>0</v>
      </c>
      <c r="E6">
        <v>80</v>
      </c>
      <c r="G6" t="str">
        <f t="shared" si="1"/>
        <v>01010000</v>
      </c>
      <c r="H6" t="str">
        <f t="shared" si="2"/>
        <v>00000000</v>
      </c>
      <c r="I6" t="str">
        <f t="shared" si="3"/>
        <v>01010000</v>
      </c>
      <c r="K6" t="str">
        <f t="shared" si="4"/>
        <v>01010</v>
      </c>
      <c r="L6" t="str">
        <f t="shared" si="5"/>
        <v>000000</v>
      </c>
      <c r="M6" t="str">
        <f t="shared" si="6"/>
        <v>01010</v>
      </c>
      <c r="O6">
        <f t="shared" si="7"/>
        <v>10</v>
      </c>
      <c r="P6">
        <f t="shared" si="8"/>
        <v>0</v>
      </c>
      <c r="Q6">
        <f t="shared" si="9"/>
        <v>10</v>
      </c>
      <c r="S6">
        <f t="shared" si="10"/>
        <v>20480</v>
      </c>
      <c r="T6">
        <f t="shared" si="11"/>
        <v>0</v>
      </c>
      <c r="U6">
        <f t="shared" si="12"/>
        <v>10</v>
      </c>
      <c r="V6">
        <f t="shared" si="13"/>
        <v>20490</v>
      </c>
    </row>
    <row r="7" spans="1:22">
      <c r="A7" t="s">
        <v>45</v>
      </c>
      <c r="B7" t="str">
        <f t="shared" si="0"/>
        <v>DARK_RED</v>
      </c>
      <c r="C7">
        <v>200</v>
      </c>
      <c r="D7">
        <v>0</v>
      </c>
      <c r="E7">
        <v>0</v>
      </c>
      <c r="G7" t="str">
        <f t="shared" si="1"/>
        <v>11001000</v>
      </c>
      <c r="H7" t="str">
        <f t="shared" si="2"/>
        <v>00000000</v>
      </c>
      <c r="I7" t="str">
        <f t="shared" si="3"/>
        <v>00000000</v>
      </c>
      <c r="K7" t="str">
        <f t="shared" si="4"/>
        <v>11001</v>
      </c>
      <c r="L7" t="str">
        <f t="shared" si="5"/>
        <v>000000</v>
      </c>
      <c r="M7" t="str">
        <f t="shared" si="6"/>
        <v>00000</v>
      </c>
      <c r="O7">
        <f t="shared" si="7"/>
        <v>25</v>
      </c>
      <c r="P7">
        <f t="shared" si="8"/>
        <v>0</v>
      </c>
      <c r="Q7">
        <f t="shared" si="9"/>
        <v>0</v>
      </c>
      <c r="S7">
        <f t="shared" si="10"/>
        <v>51200</v>
      </c>
      <c r="T7">
        <f t="shared" si="11"/>
        <v>0</v>
      </c>
      <c r="U7">
        <f t="shared" si="12"/>
        <v>0</v>
      </c>
      <c r="V7">
        <f t="shared" si="13"/>
        <v>51200</v>
      </c>
    </row>
    <row r="8" spans="1:22">
      <c r="A8" t="s">
        <v>46</v>
      </c>
      <c r="B8" t="str">
        <f t="shared" si="0"/>
        <v>DARK_YELLOW</v>
      </c>
      <c r="C8">
        <v>225</v>
      </c>
      <c r="D8">
        <v>220</v>
      </c>
      <c r="E8">
        <v>0</v>
      </c>
      <c r="G8" t="str">
        <f t="shared" si="1"/>
        <v>11100001</v>
      </c>
      <c r="H8" t="str">
        <f t="shared" si="2"/>
        <v>11011100</v>
      </c>
      <c r="I8" t="str">
        <f t="shared" si="3"/>
        <v>00000000</v>
      </c>
      <c r="K8" t="str">
        <f t="shared" si="4"/>
        <v>11100</v>
      </c>
      <c r="L8" t="str">
        <f t="shared" si="5"/>
        <v>110111</v>
      </c>
      <c r="M8" t="str">
        <f t="shared" si="6"/>
        <v>00000</v>
      </c>
      <c r="O8">
        <f t="shared" si="7"/>
        <v>28</v>
      </c>
      <c r="P8">
        <f t="shared" si="8"/>
        <v>55</v>
      </c>
      <c r="Q8">
        <f t="shared" si="9"/>
        <v>0</v>
      </c>
      <c r="S8">
        <f t="shared" si="10"/>
        <v>57344</v>
      </c>
      <c r="T8">
        <f t="shared" si="11"/>
        <v>1760</v>
      </c>
      <c r="U8">
        <f t="shared" si="12"/>
        <v>0</v>
      </c>
      <c r="V8">
        <f t="shared" si="13"/>
        <v>59104</v>
      </c>
    </row>
    <row r="9" spans="1:22">
      <c r="A9" t="s">
        <v>47</v>
      </c>
      <c r="B9" t="str">
        <f t="shared" si="0"/>
        <v>GREEN</v>
      </c>
      <c r="C9">
        <v>0</v>
      </c>
      <c r="D9">
        <v>226</v>
      </c>
      <c r="E9">
        <v>0</v>
      </c>
      <c r="G9" t="str">
        <f t="shared" si="1"/>
        <v>00000000</v>
      </c>
      <c r="H9" t="str">
        <f t="shared" si="2"/>
        <v>11100010</v>
      </c>
      <c r="I9" t="str">
        <f t="shared" si="3"/>
        <v>00000000</v>
      </c>
      <c r="K9" t="str">
        <f t="shared" si="4"/>
        <v>00000</v>
      </c>
      <c r="L9" t="str">
        <f t="shared" si="5"/>
        <v>111000</v>
      </c>
      <c r="M9" t="str">
        <f t="shared" si="6"/>
        <v>00000</v>
      </c>
      <c r="O9">
        <f t="shared" si="7"/>
        <v>0</v>
      </c>
      <c r="P9">
        <f t="shared" si="8"/>
        <v>56</v>
      </c>
      <c r="Q9">
        <f t="shared" si="9"/>
        <v>0</v>
      </c>
      <c r="S9">
        <f t="shared" si="10"/>
        <v>0</v>
      </c>
      <c r="T9">
        <f t="shared" si="11"/>
        <v>1792</v>
      </c>
      <c r="U9">
        <f t="shared" si="12"/>
        <v>0</v>
      </c>
      <c r="V9">
        <f t="shared" si="13"/>
        <v>1792</v>
      </c>
    </row>
    <row r="10" spans="1:22">
      <c r="A10" t="s">
        <v>48</v>
      </c>
      <c r="B10" t="str">
        <f t="shared" si="0"/>
        <v>INDIGO</v>
      </c>
      <c r="C10">
        <v>74</v>
      </c>
      <c r="D10">
        <v>0</v>
      </c>
      <c r="E10">
        <v>159</v>
      </c>
      <c r="G10" t="str">
        <f t="shared" si="1"/>
        <v>01001010</v>
      </c>
      <c r="H10" t="str">
        <f t="shared" si="2"/>
        <v>00000000</v>
      </c>
      <c r="I10" t="str">
        <f t="shared" si="3"/>
        <v>10011111</v>
      </c>
      <c r="K10" t="str">
        <f t="shared" si="4"/>
        <v>01001</v>
      </c>
      <c r="L10" t="str">
        <f t="shared" si="5"/>
        <v>000000</v>
      </c>
      <c r="M10" t="str">
        <f t="shared" si="6"/>
        <v>10011</v>
      </c>
      <c r="O10">
        <f t="shared" si="7"/>
        <v>9</v>
      </c>
      <c r="P10">
        <f t="shared" si="8"/>
        <v>0</v>
      </c>
      <c r="Q10">
        <f t="shared" si="9"/>
        <v>19</v>
      </c>
      <c r="S10">
        <f t="shared" si="10"/>
        <v>18432</v>
      </c>
      <c r="T10">
        <f t="shared" si="11"/>
        <v>0</v>
      </c>
      <c r="U10">
        <f t="shared" si="12"/>
        <v>19</v>
      </c>
      <c r="V10">
        <f t="shared" si="13"/>
        <v>18451</v>
      </c>
    </row>
    <row r="11" spans="1:22">
      <c r="A11" t="s">
        <v>49</v>
      </c>
      <c r="B11" t="str">
        <f t="shared" si="0"/>
        <v>LIGHT_BLUE</v>
      </c>
      <c r="C11">
        <v>128</v>
      </c>
      <c r="D11">
        <v>224</v>
      </c>
      <c r="E11">
        <v>255</v>
      </c>
      <c r="G11" t="str">
        <f t="shared" si="1"/>
        <v>10000000</v>
      </c>
      <c r="H11" t="str">
        <f t="shared" si="2"/>
        <v>11100000</v>
      </c>
      <c r="I11" t="str">
        <f t="shared" si="3"/>
        <v>11111111</v>
      </c>
      <c r="K11" t="str">
        <f t="shared" si="4"/>
        <v>10000</v>
      </c>
      <c r="L11" t="str">
        <f t="shared" si="5"/>
        <v>111000</v>
      </c>
      <c r="M11" t="str">
        <f t="shared" si="6"/>
        <v>11111</v>
      </c>
      <c r="O11">
        <f t="shared" si="7"/>
        <v>16</v>
      </c>
      <c r="P11">
        <f t="shared" si="8"/>
        <v>56</v>
      </c>
      <c r="Q11">
        <f t="shared" si="9"/>
        <v>31</v>
      </c>
      <c r="S11">
        <f t="shared" si="10"/>
        <v>32768</v>
      </c>
      <c r="T11">
        <f t="shared" si="11"/>
        <v>1792</v>
      </c>
      <c r="U11">
        <f t="shared" si="12"/>
        <v>31</v>
      </c>
      <c r="V11">
        <f t="shared" si="13"/>
        <v>34591</v>
      </c>
    </row>
    <row r="12" spans="1:22">
      <c r="A12" t="s">
        <v>50</v>
      </c>
      <c r="B12" t="str">
        <f t="shared" si="0"/>
        <v>LIGHT_GREEN</v>
      </c>
      <c r="C12">
        <v>170</v>
      </c>
      <c r="D12">
        <v>255</v>
      </c>
      <c r="E12">
        <v>170</v>
      </c>
      <c r="G12" t="str">
        <f t="shared" si="1"/>
        <v>10101010</v>
      </c>
      <c r="H12" t="str">
        <f t="shared" si="2"/>
        <v>11111111</v>
      </c>
      <c r="I12" t="str">
        <f t="shared" si="3"/>
        <v>10101010</v>
      </c>
      <c r="K12" t="str">
        <f t="shared" si="4"/>
        <v>10101</v>
      </c>
      <c r="L12" t="str">
        <f t="shared" si="5"/>
        <v>111111</v>
      </c>
      <c r="M12" t="str">
        <f t="shared" si="6"/>
        <v>10101</v>
      </c>
      <c r="O12">
        <f t="shared" si="7"/>
        <v>21</v>
      </c>
      <c r="P12">
        <f t="shared" si="8"/>
        <v>63</v>
      </c>
      <c r="Q12">
        <f t="shared" si="9"/>
        <v>21</v>
      </c>
      <c r="S12">
        <f t="shared" si="10"/>
        <v>43008</v>
      </c>
      <c r="T12">
        <f t="shared" si="11"/>
        <v>2016</v>
      </c>
      <c r="U12">
        <f t="shared" si="12"/>
        <v>21</v>
      </c>
      <c r="V12">
        <f t="shared" si="13"/>
        <v>45045</v>
      </c>
    </row>
    <row r="13" spans="1:22">
      <c r="A13" t="s">
        <v>51</v>
      </c>
      <c r="B13" t="str">
        <f t="shared" si="0"/>
        <v>LIGHT_PURPLE</v>
      </c>
      <c r="C13">
        <v>255</v>
      </c>
      <c r="D13">
        <v>161</v>
      </c>
      <c r="E13">
        <v>255</v>
      </c>
      <c r="G13" t="str">
        <f t="shared" si="1"/>
        <v>11111111</v>
      </c>
      <c r="H13" t="str">
        <f t="shared" si="2"/>
        <v>10100001</v>
      </c>
      <c r="I13" t="str">
        <f t="shared" si="3"/>
        <v>11111111</v>
      </c>
      <c r="K13" t="str">
        <f t="shared" si="4"/>
        <v>11111</v>
      </c>
      <c r="L13" t="str">
        <f t="shared" si="5"/>
        <v>101000</v>
      </c>
      <c r="M13" t="str">
        <f t="shared" si="6"/>
        <v>11111</v>
      </c>
      <c r="O13">
        <f t="shared" si="7"/>
        <v>31</v>
      </c>
      <c r="P13">
        <f t="shared" si="8"/>
        <v>40</v>
      </c>
      <c r="Q13">
        <f t="shared" si="9"/>
        <v>31</v>
      </c>
      <c r="S13">
        <f t="shared" si="10"/>
        <v>63488</v>
      </c>
      <c r="T13">
        <f t="shared" si="11"/>
        <v>1280</v>
      </c>
      <c r="U13">
        <f t="shared" si="12"/>
        <v>31</v>
      </c>
      <c r="V13">
        <f t="shared" si="13"/>
        <v>64799</v>
      </c>
    </row>
    <row r="14" spans="1:22">
      <c r="A14" t="s">
        <v>52</v>
      </c>
      <c r="B14" t="str">
        <f t="shared" si="0"/>
        <v>LIGHT_RED</v>
      </c>
      <c r="C14">
        <v>255</v>
      </c>
      <c r="D14">
        <v>128</v>
      </c>
      <c r="E14">
        <v>128</v>
      </c>
      <c r="G14" t="str">
        <f t="shared" si="1"/>
        <v>11111111</v>
      </c>
      <c r="H14" t="str">
        <f t="shared" si="2"/>
        <v>10000000</v>
      </c>
      <c r="I14" t="str">
        <f t="shared" si="3"/>
        <v>10000000</v>
      </c>
      <c r="K14" t="str">
        <f t="shared" si="4"/>
        <v>11111</v>
      </c>
      <c r="L14" t="str">
        <f t="shared" si="5"/>
        <v>100000</v>
      </c>
      <c r="M14" t="str">
        <f t="shared" si="6"/>
        <v>10000</v>
      </c>
      <c r="O14">
        <f t="shared" si="7"/>
        <v>31</v>
      </c>
      <c r="P14">
        <f t="shared" si="8"/>
        <v>32</v>
      </c>
      <c r="Q14">
        <f t="shared" si="9"/>
        <v>16</v>
      </c>
      <c r="S14">
        <f t="shared" si="10"/>
        <v>63488</v>
      </c>
      <c r="T14">
        <f t="shared" si="11"/>
        <v>1024</v>
      </c>
      <c r="U14">
        <f t="shared" si="12"/>
        <v>16</v>
      </c>
      <c r="V14">
        <f t="shared" si="13"/>
        <v>64528</v>
      </c>
    </row>
    <row r="15" spans="1:22">
      <c r="A15" t="s">
        <v>53</v>
      </c>
      <c r="B15" t="str">
        <f t="shared" si="0"/>
        <v>LIGHT_YELLOW</v>
      </c>
      <c r="C15">
        <v>255</v>
      </c>
      <c r="D15">
        <v>255</v>
      </c>
      <c r="E15">
        <v>128</v>
      </c>
      <c r="G15" t="str">
        <f t="shared" si="1"/>
        <v>11111111</v>
      </c>
      <c r="H15" t="str">
        <f t="shared" si="2"/>
        <v>11111111</v>
      </c>
      <c r="I15" t="str">
        <f t="shared" si="3"/>
        <v>10000000</v>
      </c>
      <c r="K15" t="str">
        <f t="shared" si="4"/>
        <v>11111</v>
      </c>
      <c r="L15" t="str">
        <f t="shared" si="5"/>
        <v>111111</v>
      </c>
      <c r="M15" t="str">
        <f t="shared" ref="M15:M20" si="14">LEFT(I15,5)</f>
        <v>10000</v>
      </c>
      <c r="O15">
        <f t="shared" si="7"/>
        <v>31</v>
      </c>
      <c r="P15">
        <f t="shared" si="8"/>
        <v>63</v>
      </c>
      <c r="Q15">
        <f t="shared" si="9"/>
        <v>16</v>
      </c>
      <c r="S15">
        <f t="shared" si="10"/>
        <v>63488</v>
      </c>
      <c r="T15">
        <f t="shared" si="11"/>
        <v>2016</v>
      </c>
      <c r="U15">
        <f t="shared" si="12"/>
        <v>16</v>
      </c>
      <c r="V15">
        <f t="shared" si="13"/>
        <v>65520</v>
      </c>
    </row>
    <row r="16" spans="1:22">
      <c r="A16" t="s">
        <v>54</v>
      </c>
      <c r="B16" t="str">
        <f t="shared" si="0"/>
        <v>ORANGE</v>
      </c>
      <c r="C16">
        <v>255</v>
      </c>
      <c r="D16">
        <v>170</v>
      </c>
      <c r="E16">
        <v>0</v>
      </c>
      <c r="G16" t="str">
        <f t="shared" si="1"/>
        <v>11111111</v>
      </c>
      <c r="H16" t="str">
        <f t="shared" si="2"/>
        <v>10101010</v>
      </c>
      <c r="I16" t="str">
        <f t="shared" si="3"/>
        <v>00000000</v>
      </c>
      <c r="K16" t="str">
        <f t="shared" si="4"/>
        <v>11111</v>
      </c>
      <c r="L16" t="str">
        <f t="shared" si="5"/>
        <v>101010</v>
      </c>
      <c r="M16" t="str">
        <f t="shared" si="14"/>
        <v>00000</v>
      </c>
      <c r="O16">
        <f t="shared" si="7"/>
        <v>31</v>
      </c>
      <c r="P16">
        <f t="shared" si="8"/>
        <v>42</v>
      </c>
      <c r="Q16">
        <f t="shared" si="9"/>
        <v>0</v>
      </c>
      <c r="S16">
        <f t="shared" si="10"/>
        <v>63488</v>
      </c>
      <c r="T16">
        <f t="shared" si="11"/>
        <v>1344</v>
      </c>
      <c r="U16">
        <f t="shared" si="12"/>
        <v>0</v>
      </c>
      <c r="V16">
        <f t="shared" si="13"/>
        <v>64832</v>
      </c>
    </row>
    <row r="17" spans="1:24">
      <c r="A17" t="s">
        <v>55</v>
      </c>
      <c r="B17" t="str">
        <f t="shared" si="0"/>
        <v>PINK</v>
      </c>
      <c r="C17">
        <v>255</v>
      </c>
      <c r="D17">
        <v>0</v>
      </c>
      <c r="E17">
        <v>192</v>
      </c>
      <c r="G17" t="str">
        <f t="shared" si="1"/>
        <v>11111111</v>
      </c>
      <c r="H17" t="str">
        <f t="shared" si="2"/>
        <v>00000000</v>
      </c>
      <c r="I17" t="str">
        <f t="shared" si="3"/>
        <v>11000000</v>
      </c>
      <c r="K17" t="str">
        <f t="shared" si="4"/>
        <v>11111</v>
      </c>
      <c r="L17" t="str">
        <f t="shared" si="5"/>
        <v>000000</v>
      </c>
      <c r="M17" t="str">
        <f t="shared" si="14"/>
        <v>11000</v>
      </c>
      <c r="O17">
        <f t="shared" si="7"/>
        <v>31</v>
      </c>
      <c r="P17">
        <f t="shared" si="8"/>
        <v>0</v>
      </c>
      <c r="Q17">
        <f t="shared" si="9"/>
        <v>24</v>
      </c>
      <c r="S17">
        <f t="shared" si="10"/>
        <v>63488</v>
      </c>
      <c r="T17">
        <f t="shared" si="11"/>
        <v>0</v>
      </c>
      <c r="U17">
        <f t="shared" si="12"/>
        <v>24</v>
      </c>
      <c r="V17">
        <f t="shared" si="13"/>
        <v>63512</v>
      </c>
    </row>
    <row r="18" spans="1:24">
      <c r="A18" t="s">
        <v>57</v>
      </c>
      <c r="B18" t="str">
        <f t="shared" si="0"/>
        <v>RED</v>
      </c>
      <c r="C18">
        <v>255</v>
      </c>
      <c r="D18">
        <v>48</v>
      </c>
      <c r="E18">
        <v>49</v>
      </c>
      <c r="G18" t="str">
        <f t="shared" si="1"/>
        <v>11111111</v>
      </c>
      <c r="H18" t="str">
        <f t="shared" si="2"/>
        <v>00110000</v>
      </c>
      <c r="I18" t="str">
        <f t="shared" si="3"/>
        <v>00110001</v>
      </c>
      <c r="K18" t="str">
        <f t="shared" si="4"/>
        <v>11111</v>
      </c>
      <c r="L18" t="str">
        <f t="shared" si="5"/>
        <v>001100</v>
      </c>
      <c r="M18" t="str">
        <f t="shared" si="14"/>
        <v>00110</v>
      </c>
      <c r="O18">
        <f t="shared" si="7"/>
        <v>31</v>
      </c>
      <c r="P18">
        <f t="shared" si="8"/>
        <v>12</v>
      </c>
      <c r="Q18">
        <f t="shared" si="9"/>
        <v>6</v>
      </c>
      <c r="S18">
        <f t="shared" si="10"/>
        <v>63488</v>
      </c>
      <c r="T18">
        <f t="shared" si="11"/>
        <v>384</v>
      </c>
      <c r="U18">
        <f t="shared" si="12"/>
        <v>6</v>
      </c>
      <c r="V18">
        <f t="shared" si="13"/>
        <v>63878</v>
      </c>
    </row>
    <row r="19" spans="1:24">
      <c r="A19" t="s">
        <v>58</v>
      </c>
      <c r="B19" t="str">
        <f t="shared" si="0"/>
        <v>TAN</v>
      </c>
      <c r="C19">
        <v>182</v>
      </c>
      <c r="D19">
        <v>133</v>
      </c>
      <c r="E19">
        <v>56</v>
      </c>
      <c r="G19" t="str">
        <f t="shared" si="1"/>
        <v>10110110</v>
      </c>
      <c r="H19" t="str">
        <f t="shared" si="2"/>
        <v>10000101</v>
      </c>
      <c r="I19" t="str">
        <f t="shared" si="3"/>
        <v>00111000</v>
      </c>
      <c r="K19" t="str">
        <f t="shared" si="4"/>
        <v>10110</v>
      </c>
      <c r="L19" t="str">
        <f t="shared" si="5"/>
        <v>100001</v>
      </c>
      <c r="M19" t="str">
        <f t="shared" si="14"/>
        <v>00111</v>
      </c>
      <c r="O19">
        <f t="shared" si="7"/>
        <v>22</v>
      </c>
      <c r="P19">
        <f t="shared" si="8"/>
        <v>33</v>
      </c>
      <c r="Q19">
        <f t="shared" si="9"/>
        <v>7</v>
      </c>
      <c r="S19">
        <f t="shared" si="10"/>
        <v>45056</v>
      </c>
      <c r="T19">
        <f t="shared" si="11"/>
        <v>1056</v>
      </c>
      <c r="U19">
        <f t="shared" si="12"/>
        <v>7</v>
      </c>
      <c r="V19">
        <f t="shared" si="13"/>
        <v>46119</v>
      </c>
    </row>
    <row r="20" spans="1:24">
      <c r="A20" t="s">
        <v>59</v>
      </c>
      <c r="B20" t="str">
        <f t="shared" si="0"/>
        <v>VIOLET</v>
      </c>
      <c r="C20">
        <v>192</v>
      </c>
      <c r="D20">
        <v>128</v>
      </c>
      <c r="E20">
        <v>255</v>
      </c>
      <c r="G20" t="str">
        <f t="shared" si="1"/>
        <v>11000000</v>
      </c>
      <c r="H20" t="str">
        <f t="shared" si="2"/>
        <v>10000000</v>
      </c>
      <c r="I20" t="str">
        <f t="shared" si="3"/>
        <v>11111111</v>
      </c>
      <c r="K20" t="str">
        <f t="shared" si="4"/>
        <v>11000</v>
      </c>
      <c r="L20" t="str">
        <f t="shared" si="5"/>
        <v>100000</v>
      </c>
      <c r="M20" t="str">
        <f t="shared" si="14"/>
        <v>11111</v>
      </c>
      <c r="O20">
        <f t="shared" si="7"/>
        <v>24</v>
      </c>
      <c r="P20">
        <f t="shared" si="8"/>
        <v>32</v>
      </c>
      <c r="Q20">
        <f t="shared" si="9"/>
        <v>31</v>
      </c>
      <c r="S20">
        <f t="shared" si="10"/>
        <v>49152</v>
      </c>
      <c r="T20">
        <f t="shared" si="11"/>
        <v>1024</v>
      </c>
      <c r="U20">
        <f t="shared" si="12"/>
        <v>31</v>
      </c>
      <c r="V20">
        <f t="shared" si="13"/>
        <v>50207</v>
      </c>
    </row>
    <row r="24" spans="1:24" ht="15.6" thickBot="1">
      <c r="A24" s="24"/>
    </row>
    <row r="25" spans="1:24" ht="15.6" thickBot="1">
      <c r="A25" s="427" t="s">
        <v>66</v>
      </c>
      <c r="B25" s="427" t="s">
        <v>99</v>
      </c>
      <c r="C25" s="26" t="s">
        <v>67</v>
      </c>
      <c r="D25" s="26" t="s">
        <v>69</v>
      </c>
    </row>
    <row r="26" spans="1:24" ht="15.6" hidden="1" thickBot="1">
      <c r="A26" s="428"/>
      <c r="B26" s="428"/>
      <c r="C26" s="27" t="s">
        <v>68</v>
      </c>
      <c r="D26" s="27" t="s">
        <v>100</v>
      </c>
      <c r="E26" s="21" t="s">
        <v>304</v>
      </c>
      <c r="F26" s="21" t="s">
        <v>305</v>
      </c>
    </row>
    <row r="27" spans="1:24" ht="15.6" hidden="1" thickBot="1">
      <c r="A27" s="39"/>
      <c r="B27" s="25" t="s">
        <v>101</v>
      </c>
      <c r="C27" s="25" t="s">
        <v>87</v>
      </c>
      <c r="D27" s="25" t="s">
        <v>88</v>
      </c>
      <c r="E27" s="167"/>
      <c r="F27" s="167"/>
      <c r="G27" t="str">
        <f t="shared" ref="G27:G90" si="15">HEX2BIN(MID($C27,2,2),8)</f>
        <v>10000000</v>
      </c>
      <c r="H27" t="str">
        <f t="shared" ref="H27:H90" si="16">HEX2BIN(MID($C27,4,2),8)</f>
        <v>00000000</v>
      </c>
      <c r="I27" t="str">
        <f t="shared" ref="I27:I90" si="17">HEX2BIN(MID($C27,6,2),8)</f>
        <v>00000000</v>
      </c>
      <c r="K27" t="str">
        <f t="shared" ref="K27:K71" si="18">LEFT(G27,5)</f>
        <v>10000</v>
      </c>
      <c r="L27" t="str">
        <f t="shared" ref="L27:L71" si="19">LEFT(H27,6)</f>
        <v>000000</v>
      </c>
      <c r="M27" t="str">
        <f t="shared" ref="M27:M71" si="20">LEFT(I27,5)</f>
        <v>00000</v>
      </c>
      <c r="O27">
        <f t="shared" ref="O27:O71" si="21">BIN2DEC(K27)</f>
        <v>16</v>
      </c>
      <c r="P27">
        <f t="shared" ref="P27:P71" si="22">BIN2DEC(L27)</f>
        <v>0</v>
      </c>
      <c r="Q27">
        <f t="shared" ref="Q27:Q71" si="23">BIN2DEC(M27)</f>
        <v>0</v>
      </c>
      <c r="S27">
        <f t="shared" ref="S27:S90" si="24">O27*2048</f>
        <v>32768</v>
      </c>
      <c r="T27">
        <f t="shared" ref="T27:T90" si="25">P27*32</f>
        <v>0</v>
      </c>
      <c r="U27">
        <f t="shared" ref="U27:U90" si="26">Q27</f>
        <v>0</v>
      </c>
      <c r="V27">
        <f t="shared" ref="V27:V90" si="27">S27+T27+U27</f>
        <v>32768</v>
      </c>
      <c r="X27" t="str">
        <f>"#define " &amp;UPPER(B27)&amp;" NEW_COLOR("&amp;O27&amp;","&amp;P27&amp;","&amp;Q27&amp;")"</f>
        <v>#define MAROON NEW_COLOR(16,0,0)</v>
      </c>
    </row>
    <row r="28" spans="1:24" ht="15.6" hidden="1" thickBot="1">
      <c r="A28" s="45"/>
      <c r="B28" s="25" t="s">
        <v>45</v>
      </c>
      <c r="C28" s="25" t="s">
        <v>102</v>
      </c>
      <c r="D28" s="25" t="s">
        <v>103</v>
      </c>
      <c r="E28" s="168"/>
      <c r="F28" s="304"/>
      <c r="G28" t="str">
        <f t="shared" si="15"/>
        <v>10001011</v>
      </c>
      <c r="H28" t="str">
        <f t="shared" si="16"/>
        <v>00000000</v>
      </c>
      <c r="I28" t="str">
        <f t="shared" si="17"/>
        <v>00000000</v>
      </c>
      <c r="K28" t="str">
        <f t="shared" si="18"/>
        <v>10001</v>
      </c>
      <c r="L28" t="str">
        <f t="shared" si="19"/>
        <v>000000</v>
      </c>
      <c r="M28" t="str">
        <f t="shared" si="20"/>
        <v>00000</v>
      </c>
      <c r="O28">
        <f t="shared" si="21"/>
        <v>17</v>
      </c>
      <c r="P28">
        <f t="shared" si="22"/>
        <v>0</v>
      </c>
      <c r="Q28">
        <f t="shared" si="23"/>
        <v>0</v>
      </c>
      <c r="S28">
        <f t="shared" si="24"/>
        <v>34816</v>
      </c>
      <c r="T28">
        <f t="shared" si="25"/>
        <v>0</v>
      </c>
      <c r="U28">
        <f t="shared" si="26"/>
        <v>0</v>
      </c>
      <c r="V28">
        <f t="shared" si="27"/>
        <v>34816</v>
      </c>
      <c r="X28" t="str">
        <f t="shared" ref="X28:X91" si="28">"#define " &amp;UPPER(B28)&amp;" NEW_COLOR("&amp;O28&amp;","&amp;P28&amp;","&amp;Q28&amp;")"</f>
        <v>#define DARK_RED NEW_COLOR(17,0,0)</v>
      </c>
    </row>
    <row r="29" spans="1:24" ht="15.6" hidden="1" thickBot="1">
      <c r="A29" s="46"/>
      <c r="B29" s="25" t="s">
        <v>41</v>
      </c>
      <c r="C29" s="25" t="s">
        <v>104</v>
      </c>
      <c r="D29" s="25" t="s">
        <v>105</v>
      </c>
      <c r="E29" s="169"/>
      <c r="F29" s="305"/>
      <c r="G29" t="str">
        <f t="shared" si="15"/>
        <v>10100101</v>
      </c>
      <c r="H29" t="str">
        <f t="shared" si="16"/>
        <v>00101010</v>
      </c>
      <c r="I29" t="str">
        <f t="shared" si="17"/>
        <v>00101010</v>
      </c>
      <c r="K29" t="str">
        <f t="shared" si="18"/>
        <v>10100</v>
      </c>
      <c r="L29" t="str">
        <f t="shared" si="19"/>
        <v>001010</v>
      </c>
      <c r="M29" t="str">
        <f t="shared" si="20"/>
        <v>00101</v>
      </c>
      <c r="O29">
        <f t="shared" si="21"/>
        <v>20</v>
      </c>
      <c r="P29">
        <f t="shared" si="22"/>
        <v>10</v>
      </c>
      <c r="Q29">
        <f t="shared" si="23"/>
        <v>5</v>
      </c>
      <c r="S29">
        <f t="shared" si="24"/>
        <v>40960</v>
      </c>
      <c r="T29">
        <f t="shared" si="25"/>
        <v>320</v>
      </c>
      <c r="U29">
        <f t="shared" si="26"/>
        <v>5</v>
      </c>
      <c r="V29">
        <f t="shared" si="27"/>
        <v>41285</v>
      </c>
      <c r="X29" t="str">
        <f t="shared" si="28"/>
        <v>#define BROWN NEW_COLOR(20,10,5)</v>
      </c>
    </row>
    <row r="30" spans="1:24" ht="15.6" hidden="1" thickBot="1">
      <c r="A30" s="47"/>
      <c r="B30" s="25" t="s">
        <v>106</v>
      </c>
      <c r="C30" s="25" t="s">
        <v>107</v>
      </c>
      <c r="D30" s="25" t="s">
        <v>108</v>
      </c>
      <c r="E30" s="170"/>
      <c r="F30" s="306"/>
      <c r="G30" t="str">
        <f t="shared" si="15"/>
        <v>10110010</v>
      </c>
      <c r="H30" t="str">
        <f t="shared" si="16"/>
        <v>00100010</v>
      </c>
      <c r="I30" t="str">
        <f t="shared" si="17"/>
        <v>00100010</v>
      </c>
      <c r="K30" t="str">
        <f t="shared" si="18"/>
        <v>10110</v>
      </c>
      <c r="L30" t="str">
        <f t="shared" si="19"/>
        <v>001000</v>
      </c>
      <c r="M30" t="str">
        <f t="shared" si="20"/>
        <v>00100</v>
      </c>
      <c r="O30">
        <f t="shared" si="21"/>
        <v>22</v>
      </c>
      <c r="P30">
        <f t="shared" si="22"/>
        <v>8</v>
      </c>
      <c r="Q30">
        <f t="shared" si="23"/>
        <v>4</v>
      </c>
      <c r="S30">
        <f t="shared" si="24"/>
        <v>45056</v>
      </c>
      <c r="T30">
        <f t="shared" si="25"/>
        <v>256</v>
      </c>
      <c r="U30">
        <f t="shared" si="26"/>
        <v>4</v>
      </c>
      <c r="V30">
        <f t="shared" si="27"/>
        <v>45316</v>
      </c>
      <c r="X30" t="str">
        <f t="shared" si="28"/>
        <v>#define FIREBRICK NEW_COLOR(22,8,4)</v>
      </c>
    </row>
    <row r="31" spans="1:24" ht="15.6" hidden="1" thickBot="1">
      <c r="A31" s="48"/>
      <c r="B31" s="25" t="s">
        <v>109</v>
      </c>
      <c r="C31" s="25" t="s">
        <v>110</v>
      </c>
      <c r="D31" s="25" t="s">
        <v>111</v>
      </c>
      <c r="E31" s="171"/>
      <c r="F31" s="307"/>
      <c r="G31" t="str">
        <f t="shared" si="15"/>
        <v>11011100</v>
      </c>
      <c r="H31" t="str">
        <f t="shared" si="16"/>
        <v>00010100</v>
      </c>
      <c r="I31" t="str">
        <f t="shared" si="17"/>
        <v>00111100</v>
      </c>
      <c r="K31" t="str">
        <f t="shared" si="18"/>
        <v>11011</v>
      </c>
      <c r="L31" t="str">
        <f t="shared" si="19"/>
        <v>000101</v>
      </c>
      <c r="M31" t="str">
        <f t="shared" si="20"/>
        <v>00111</v>
      </c>
      <c r="O31">
        <f t="shared" si="21"/>
        <v>27</v>
      </c>
      <c r="P31">
        <f t="shared" si="22"/>
        <v>5</v>
      </c>
      <c r="Q31">
        <f t="shared" si="23"/>
        <v>7</v>
      </c>
      <c r="S31">
        <f t="shared" si="24"/>
        <v>55296</v>
      </c>
      <c r="T31">
        <f t="shared" si="25"/>
        <v>160</v>
      </c>
      <c r="U31">
        <f t="shared" si="26"/>
        <v>7</v>
      </c>
      <c r="V31">
        <f t="shared" si="27"/>
        <v>55463</v>
      </c>
      <c r="X31" t="str">
        <f t="shared" si="28"/>
        <v>#define CRIMSON NEW_COLOR(27,5,7)</v>
      </c>
    </row>
    <row r="32" spans="1:24" ht="15.6" hidden="1" thickBot="1">
      <c r="A32" s="31"/>
      <c r="B32" s="25" t="s">
        <v>57</v>
      </c>
      <c r="C32" s="25" t="s">
        <v>73</v>
      </c>
      <c r="D32" s="25" t="s">
        <v>74</v>
      </c>
      <c r="E32" s="172"/>
      <c r="F32" s="308"/>
      <c r="G32" t="str">
        <f t="shared" si="15"/>
        <v>11111111</v>
      </c>
      <c r="H32" t="str">
        <f t="shared" si="16"/>
        <v>00000000</v>
      </c>
      <c r="I32" t="str">
        <f t="shared" si="17"/>
        <v>00000000</v>
      </c>
      <c r="K32" t="str">
        <f t="shared" si="18"/>
        <v>11111</v>
      </c>
      <c r="L32" t="str">
        <f t="shared" si="19"/>
        <v>000000</v>
      </c>
      <c r="M32" t="str">
        <f t="shared" si="20"/>
        <v>00000</v>
      </c>
      <c r="O32">
        <f t="shared" si="21"/>
        <v>31</v>
      </c>
      <c r="P32">
        <f t="shared" si="22"/>
        <v>0</v>
      </c>
      <c r="Q32">
        <f t="shared" si="23"/>
        <v>0</v>
      </c>
      <c r="S32">
        <f t="shared" si="24"/>
        <v>63488</v>
      </c>
      <c r="T32">
        <f t="shared" si="25"/>
        <v>0</v>
      </c>
      <c r="U32">
        <f t="shared" si="26"/>
        <v>0</v>
      </c>
      <c r="V32">
        <f t="shared" si="27"/>
        <v>63488</v>
      </c>
      <c r="X32" t="str">
        <f t="shared" si="28"/>
        <v>#define RED NEW_COLOR(31,0,0)</v>
      </c>
    </row>
    <row r="33" spans="1:24" ht="15.6" hidden="1" thickBot="1">
      <c r="A33" s="49"/>
      <c r="B33" s="25" t="s">
        <v>112</v>
      </c>
      <c r="C33" s="25" t="s">
        <v>113</v>
      </c>
      <c r="D33" s="25" t="s">
        <v>114</v>
      </c>
      <c r="E33" s="173"/>
      <c r="F33" s="309"/>
      <c r="G33" t="str">
        <f t="shared" si="15"/>
        <v>11111111</v>
      </c>
      <c r="H33" t="str">
        <f t="shared" si="16"/>
        <v>01100011</v>
      </c>
      <c r="I33" t="str">
        <f t="shared" si="17"/>
        <v>01000111</v>
      </c>
      <c r="K33" t="str">
        <f t="shared" si="18"/>
        <v>11111</v>
      </c>
      <c r="L33" t="str">
        <f t="shared" si="19"/>
        <v>011000</v>
      </c>
      <c r="M33" t="str">
        <f t="shared" si="20"/>
        <v>01000</v>
      </c>
      <c r="O33">
        <f t="shared" si="21"/>
        <v>31</v>
      </c>
      <c r="P33">
        <f t="shared" si="22"/>
        <v>24</v>
      </c>
      <c r="Q33">
        <f t="shared" si="23"/>
        <v>8</v>
      </c>
      <c r="S33">
        <f t="shared" si="24"/>
        <v>63488</v>
      </c>
      <c r="T33">
        <f t="shared" si="25"/>
        <v>768</v>
      </c>
      <c r="U33">
        <f t="shared" si="26"/>
        <v>8</v>
      </c>
      <c r="V33">
        <f t="shared" si="27"/>
        <v>64264</v>
      </c>
      <c r="X33" t="str">
        <f t="shared" si="28"/>
        <v>#define TOMATO NEW_COLOR(31,24,8)</v>
      </c>
    </row>
    <row r="34" spans="1:24" ht="15.6" hidden="1" thickBot="1">
      <c r="A34" s="50"/>
      <c r="B34" s="25" t="s">
        <v>115</v>
      </c>
      <c r="C34" s="25" t="s">
        <v>116</v>
      </c>
      <c r="D34" s="25" t="s">
        <v>117</v>
      </c>
      <c r="E34" s="174"/>
      <c r="F34" s="310"/>
      <c r="G34" t="str">
        <f t="shared" si="15"/>
        <v>11111111</v>
      </c>
      <c r="H34" t="str">
        <f t="shared" si="16"/>
        <v>01111111</v>
      </c>
      <c r="I34" t="str">
        <f t="shared" si="17"/>
        <v>01010000</v>
      </c>
      <c r="K34" t="str">
        <f t="shared" si="18"/>
        <v>11111</v>
      </c>
      <c r="L34" t="str">
        <f t="shared" si="19"/>
        <v>011111</v>
      </c>
      <c r="M34" t="str">
        <f t="shared" si="20"/>
        <v>01010</v>
      </c>
      <c r="O34">
        <f t="shared" si="21"/>
        <v>31</v>
      </c>
      <c r="P34">
        <f t="shared" si="22"/>
        <v>31</v>
      </c>
      <c r="Q34">
        <f t="shared" si="23"/>
        <v>10</v>
      </c>
      <c r="S34">
        <f t="shared" si="24"/>
        <v>63488</v>
      </c>
      <c r="T34">
        <f t="shared" si="25"/>
        <v>992</v>
      </c>
      <c r="U34">
        <f t="shared" si="26"/>
        <v>10</v>
      </c>
      <c r="V34">
        <f t="shared" si="27"/>
        <v>64490</v>
      </c>
      <c r="X34" t="str">
        <f t="shared" si="28"/>
        <v>#define CORAL NEW_COLOR(31,31,10)</v>
      </c>
    </row>
    <row r="35" spans="1:24" ht="15.6" hidden="1" thickBot="1">
      <c r="A35" s="51"/>
      <c r="B35" s="25" t="s">
        <v>306</v>
      </c>
      <c r="C35" s="25" t="s">
        <v>118</v>
      </c>
      <c r="D35" s="25" t="s">
        <v>119</v>
      </c>
      <c r="E35" s="175"/>
      <c r="F35" s="311"/>
      <c r="G35" t="str">
        <f t="shared" si="15"/>
        <v>11001101</v>
      </c>
      <c r="H35" t="str">
        <f t="shared" si="16"/>
        <v>01011100</v>
      </c>
      <c r="I35" t="str">
        <f t="shared" si="17"/>
        <v>01011100</v>
      </c>
      <c r="K35" t="str">
        <f t="shared" si="18"/>
        <v>11001</v>
      </c>
      <c r="L35" t="str">
        <f t="shared" si="19"/>
        <v>010111</v>
      </c>
      <c r="M35" t="str">
        <f t="shared" si="20"/>
        <v>01011</v>
      </c>
      <c r="O35">
        <f t="shared" si="21"/>
        <v>25</v>
      </c>
      <c r="P35">
        <f t="shared" si="22"/>
        <v>23</v>
      </c>
      <c r="Q35">
        <f t="shared" si="23"/>
        <v>11</v>
      </c>
      <c r="S35">
        <f t="shared" si="24"/>
        <v>51200</v>
      </c>
      <c r="T35">
        <f t="shared" si="25"/>
        <v>736</v>
      </c>
      <c r="U35">
        <f t="shared" si="26"/>
        <v>11</v>
      </c>
      <c r="V35">
        <f t="shared" si="27"/>
        <v>51947</v>
      </c>
      <c r="X35" t="str">
        <f t="shared" si="28"/>
        <v>#define INDIAN_RED NEW_COLOR(25,23,11)</v>
      </c>
    </row>
    <row r="36" spans="1:24" ht="15.6" hidden="1" thickBot="1">
      <c r="A36" s="52"/>
      <c r="B36" s="25" t="s">
        <v>307</v>
      </c>
      <c r="C36" s="25" t="s">
        <v>120</v>
      </c>
      <c r="D36" s="30">
        <v>-240128128</v>
      </c>
      <c r="E36" s="176"/>
      <c r="F36" s="176"/>
      <c r="G36" t="str">
        <f t="shared" si="15"/>
        <v>11110000</v>
      </c>
      <c r="H36" t="str">
        <f t="shared" si="16"/>
        <v>10000000</v>
      </c>
      <c r="I36" t="str">
        <f t="shared" si="17"/>
        <v>10000000</v>
      </c>
      <c r="K36" t="str">
        <f t="shared" si="18"/>
        <v>11110</v>
      </c>
      <c r="L36" t="str">
        <f t="shared" si="19"/>
        <v>100000</v>
      </c>
      <c r="M36" t="str">
        <f t="shared" si="20"/>
        <v>10000</v>
      </c>
      <c r="O36">
        <f t="shared" si="21"/>
        <v>30</v>
      </c>
      <c r="P36">
        <f t="shared" si="22"/>
        <v>32</v>
      </c>
      <c r="Q36">
        <f t="shared" si="23"/>
        <v>16</v>
      </c>
      <c r="S36">
        <f t="shared" si="24"/>
        <v>61440</v>
      </c>
      <c r="T36">
        <f t="shared" si="25"/>
        <v>1024</v>
      </c>
      <c r="U36">
        <f t="shared" si="26"/>
        <v>16</v>
      </c>
      <c r="V36">
        <f t="shared" si="27"/>
        <v>62480</v>
      </c>
      <c r="X36" t="str">
        <f t="shared" si="28"/>
        <v>#define LIGHT_CORAL NEW_COLOR(30,32,16)</v>
      </c>
    </row>
    <row r="37" spans="1:24" ht="15.6" hidden="1" thickBot="1">
      <c r="A37" s="53"/>
      <c r="B37" s="25" t="s">
        <v>308</v>
      </c>
      <c r="C37" s="25" t="s">
        <v>121</v>
      </c>
      <c r="D37" s="30">
        <v>-233150122</v>
      </c>
      <c r="E37" s="177"/>
      <c r="F37" s="312"/>
      <c r="G37" t="str">
        <f t="shared" si="15"/>
        <v>11101001</v>
      </c>
      <c r="H37" t="str">
        <f t="shared" si="16"/>
        <v>10010110</v>
      </c>
      <c r="I37" t="str">
        <f t="shared" si="17"/>
        <v>01111010</v>
      </c>
      <c r="K37" t="str">
        <f t="shared" si="18"/>
        <v>11101</v>
      </c>
      <c r="L37" t="str">
        <f t="shared" si="19"/>
        <v>100101</v>
      </c>
      <c r="M37" t="str">
        <f t="shared" si="20"/>
        <v>01111</v>
      </c>
      <c r="O37">
        <f t="shared" si="21"/>
        <v>29</v>
      </c>
      <c r="P37">
        <f t="shared" si="22"/>
        <v>37</v>
      </c>
      <c r="Q37">
        <f t="shared" si="23"/>
        <v>15</v>
      </c>
      <c r="S37">
        <f t="shared" si="24"/>
        <v>59392</v>
      </c>
      <c r="T37">
        <f t="shared" si="25"/>
        <v>1184</v>
      </c>
      <c r="U37">
        <f t="shared" si="26"/>
        <v>15</v>
      </c>
      <c r="V37">
        <f t="shared" si="27"/>
        <v>60591</v>
      </c>
      <c r="X37" t="str">
        <f t="shared" si="28"/>
        <v>#define DARK_SALMON NEW_COLOR(29,37,15)</v>
      </c>
    </row>
    <row r="38" spans="1:24" ht="15.6" hidden="1" thickBot="1">
      <c r="A38" s="54"/>
      <c r="B38" s="25" t="s">
        <v>122</v>
      </c>
      <c r="C38" s="25" t="s">
        <v>123</v>
      </c>
      <c r="D38" s="30">
        <v>-250128114</v>
      </c>
      <c r="E38" s="178"/>
      <c r="F38" s="313"/>
      <c r="G38" t="str">
        <f t="shared" si="15"/>
        <v>11111010</v>
      </c>
      <c r="H38" t="str">
        <f t="shared" si="16"/>
        <v>10000000</v>
      </c>
      <c r="I38" t="str">
        <f t="shared" si="17"/>
        <v>01110010</v>
      </c>
      <c r="K38" t="str">
        <f t="shared" si="18"/>
        <v>11111</v>
      </c>
      <c r="L38" t="str">
        <f t="shared" si="19"/>
        <v>100000</v>
      </c>
      <c r="M38" t="str">
        <f t="shared" si="20"/>
        <v>01110</v>
      </c>
      <c r="O38">
        <f t="shared" si="21"/>
        <v>31</v>
      </c>
      <c r="P38">
        <f t="shared" si="22"/>
        <v>32</v>
      </c>
      <c r="Q38">
        <f t="shared" si="23"/>
        <v>14</v>
      </c>
      <c r="S38">
        <f t="shared" si="24"/>
        <v>63488</v>
      </c>
      <c r="T38">
        <f t="shared" si="25"/>
        <v>1024</v>
      </c>
      <c r="U38">
        <f t="shared" si="26"/>
        <v>14</v>
      </c>
      <c r="V38">
        <f t="shared" si="27"/>
        <v>64526</v>
      </c>
      <c r="X38" t="str">
        <f t="shared" si="28"/>
        <v>#define SALMON NEW_COLOR(31,32,14)</v>
      </c>
    </row>
    <row r="39" spans="1:24" ht="15.6" hidden="1" thickBot="1">
      <c r="A39" s="55"/>
      <c r="B39" s="25" t="s">
        <v>309</v>
      </c>
      <c r="C39" s="25" t="s">
        <v>124</v>
      </c>
      <c r="D39" s="30">
        <v>-255160122</v>
      </c>
      <c r="E39" s="179"/>
      <c r="F39" s="314"/>
      <c r="G39" t="str">
        <f t="shared" si="15"/>
        <v>11111111</v>
      </c>
      <c r="H39" t="str">
        <f t="shared" si="16"/>
        <v>10100000</v>
      </c>
      <c r="I39" t="str">
        <f t="shared" si="17"/>
        <v>01111010</v>
      </c>
      <c r="K39" t="str">
        <f t="shared" si="18"/>
        <v>11111</v>
      </c>
      <c r="L39" t="str">
        <f t="shared" si="19"/>
        <v>101000</v>
      </c>
      <c r="M39" t="str">
        <f t="shared" si="20"/>
        <v>01111</v>
      </c>
      <c r="O39">
        <f t="shared" si="21"/>
        <v>31</v>
      </c>
      <c r="P39">
        <f t="shared" si="22"/>
        <v>40</v>
      </c>
      <c r="Q39">
        <f t="shared" si="23"/>
        <v>15</v>
      </c>
      <c r="S39">
        <f t="shared" si="24"/>
        <v>63488</v>
      </c>
      <c r="T39">
        <f t="shared" si="25"/>
        <v>1280</v>
      </c>
      <c r="U39">
        <f t="shared" si="26"/>
        <v>15</v>
      </c>
      <c r="V39">
        <f t="shared" si="27"/>
        <v>64783</v>
      </c>
      <c r="X39" t="str">
        <f t="shared" si="28"/>
        <v>#define LIGHT_SALMON NEW_COLOR(31,40,15)</v>
      </c>
    </row>
    <row r="40" spans="1:24" ht="15.6" hidden="1" thickBot="1">
      <c r="A40" s="56"/>
      <c r="B40" s="25" t="s">
        <v>310</v>
      </c>
      <c r="C40" s="25" t="s">
        <v>125</v>
      </c>
      <c r="D40" s="25" t="s">
        <v>126</v>
      </c>
      <c r="E40" s="180"/>
      <c r="F40" s="315"/>
      <c r="G40" t="str">
        <f t="shared" si="15"/>
        <v>11111111</v>
      </c>
      <c r="H40" t="str">
        <f t="shared" si="16"/>
        <v>01000101</v>
      </c>
      <c r="I40" t="str">
        <f t="shared" si="17"/>
        <v>00000000</v>
      </c>
      <c r="K40" t="str">
        <f t="shared" si="18"/>
        <v>11111</v>
      </c>
      <c r="L40" t="str">
        <f t="shared" si="19"/>
        <v>010001</v>
      </c>
      <c r="M40" t="str">
        <f t="shared" si="20"/>
        <v>00000</v>
      </c>
      <c r="O40">
        <f t="shared" si="21"/>
        <v>31</v>
      </c>
      <c r="P40">
        <f t="shared" si="22"/>
        <v>17</v>
      </c>
      <c r="Q40">
        <f t="shared" si="23"/>
        <v>0</v>
      </c>
      <c r="S40">
        <f t="shared" si="24"/>
        <v>63488</v>
      </c>
      <c r="T40">
        <f t="shared" si="25"/>
        <v>544</v>
      </c>
      <c r="U40">
        <f t="shared" si="26"/>
        <v>0</v>
      </c>
      <c r="V40">
        <f t="shared" si="27"/>
        <v>64032</v>
      </c>
      <c r="X40" t="str">
        <f t="shared" si="28"/>
        <v>#define ORANGE_RED NEW_COLOR(31,17,0)</v>
      </c>
    </row>
    <row r="41" spans="1:24" ht="15.6" hidden="1" thickBot="1">
      <c r="A41" s="57"/>
      <c r="B41" s="25" t="s">
        <v>311</v>
      </c>
      <c r="C41" s="25" t="s">
        <v>127</v>
      </c>
      <c r="D41" s="25" t="s">
        <v>128</v>
      </c>
      <c r="E41" s="181"/>
      <c r="F41" s="316"/>
      <c r="G41" t="str">
        <f t="shared" si="15"/>
        <v>11111111</v>
      </c>
      <c r="H41" t="str">
        <f t="shared" si="16"/>
        <v>10001100</v>
      </c>
      <c r="I41" t="str">
        <f t="shared" si="17"/>
        <v>00000000</v>
      </c>
      <c r="K41" t="str">
        <f t="shared" si="18"/>
        <v>11111</v>
      </c>
      <c r="L41" t="str">
        <f t="shared" si="19"/>
        <v>100011</v>
      </c>
      <c r="M41" t="str">
        <f t="shared" si="20"/>
        <v>00000</v>
      </c>
      <c r="O41">
        <f t="shared" si="21"/>
        <v>31</v>
      </c>
      <c r="P41">
        <f t="shared" si="22"/>
        <v>35</v>
      </c>
      <c r="Q41">
        <f t="shared" si="23"/>
        <v>0</v>
      </c>
      <c r="S41">
        <f t="shared" si="24"/>
        <v>63488</v>
      </c>
      <c r="T41">
        <f t="shared" si="25"/>
        <v>1120</v>
      </c>
      <c r="U41">
        <f t="shared" si="26"/>
        <v>0</v>
      </c>
      <c r="V41">
        <f t="shared" si="27"/>
        <v>64608</v>
      </c>
      <c r="X41" t="str">
        <f t="shared" si="28"/>
        <v>#define DARK_ORANGE NEW_COLOR(31,35,0)</v>
      </c>
    </row>
    <row r="42" spans="1:24" ht="15.6" hidden="1" thickBot="1">
      <c r="A42" s="58"/>
      <c r="B42" s="25" t="s">
        <v>54</v>
      </c>
      <c r="C42" s="25" t="s">
        <v>129</v>
      </c>
      <c r="D42" s="25" t="s">
        <v>130</v>
      </c>
      <c r="E42" s="182"/>
      <c r="F42" s="317"/>
      <c r="G42" t="str">
        <f t="shared" si="15"/>
        <v>11111111</v>
      </c>
      <c r="H42" t="str">
        <f t="shared" si="16"/>
        <v>10100101</v>
      </c>
      <c r="I42" t="str">
        <f t="shared" si="17"/>
        <v>00000000</v>
      </c>
      <c r="K42" t="str">
        <f t="shared" si="18"/>
        <v>11111</v>
      </c>
      <c r="L42" t="str">
        <f t="shared" si="19"/>
        <v>101001</v>
      </c>
      <c r="M42" t="str">
        <f t="shared" si="20"/>
        <v>00000</v>
      </c>
      <c r="O42">
        <f t="shared" si="21"/>
        <v>31</v>
      </c>
      <c r="P42">
        <f t="shared" si="22"/>
        <v>41</v>
      </c>
      <c r="Q42">
        <f t="shared" si="23"/>
        <v>0</v>
      </c>
      <c r="S42">
        <f t="shared" si="24"/>
        <v>63488</v>
      </c>
      <c r="T42">
        <f t="shared" si="25"/>
        <v>1312</v>
      </c>
      <c r="U42">
        <f t="shared" si="26"/>
        <v>0</v>
      </c>
      <c r="V42">
        <f t="shared" si="27"/>
        <v>64800</v>
      </c>
      <c r="X42" t="str">
        <f t="shared" si="28"/>
        <v>#define ORANGE NEW_COLOR(31,41,0)</v>
      </c>
    </row>
    <row r="43" spans="1:24" ht="15.6" hidden="1" thickBot="1">
      <c r="A43" s="59"/>
      <c r="B43" s="25" t="s">
        <v>131</v>
      </c>
      <c r="C43" s="25" t="s">
        <v>132</v>
      </c>
      <c r="D43" s="25" t="s">
        <v>133</v>
      </c>
      <c r="E43" s="183"/>
      <c r="F43" s="318"/>
      <c r="G43" t="str">
        <f t="shared" si="15"/>
        <v>11111111</v>
      </c>
      <c r="H43" t="str">
        <f t="shared" si="16"/>
        <v>11010111</v>
      </c>
      <c r="I43" t="str">
        <f t="shared" si="17"/>
        <v>00000000</v>
      </c>
      <c r="K43" t="str">
        <f t="shared" si="18"/>
        <v>11111</v>
      </c>
      <c r="L43" t="str">
        <f t="shared" si="19"/>
        <v>110101</v>
      </c>
      <c r="M43" t="str">
        <f t="shared" si="20"/>
        <v>00000</v>
      </c>
      <c r="O43">
        <f t="shared" si="21"/>
        <v>31</v>
      </c>
      <c r="P43">
        <f t="shared" si="22"/>
        <v>53</v>
      </c>
      <c r="Q43">
        <f t="shared" si="23"/>
        <v>0</v>
      </c>
      <c r="S43">
        <f t="shared" si="24"/>
        <v>63488</v>
      </c>
      <c r="T43">
        <f t="shared" si="25"/>
        <v>1696</v>
      </c>
      <c r="U43">
        <f t="shared" si="26"/>
        <v>0</v>
      </c>
      <c r="V43">
        <f t="shared" si="27"/>
        <v>65184</v>
      </c>
      <c r="X43" t="str">
        <f t="shared" si="28"/>
        <v>#define GOLD NEW_COLOR(31,53,0)</v>
      </c>
    </row>
    <row r="44" spans="1:24" ht="15.6" hidden="1" thickBot="1">
      <c r="A44" s="60"/>
      <c r="B44" s="25" t="s">
        <v>312</v>
      </c>
      <c r="C44" s="25" t="s">
        <v>134</v>
      </c>
      <c r="D44" s="25" t="s">
        <v>135</v>
      </c>
      <c r="E44" s="184"/>
      <c r="F44" s="319"/>
      <c r="G44" t="str">
        <f t="shared" si="15"/>
        <v>10111000</v>
      </c>
      <c r="H44" t="str">
        <f t="shared" si="16"/>
        <v>10000110</v>
      </c>
      <c r="I44" t="str">
        <f t="shared" si="17"/>
        <v>00001011</v>
      </c>
      <c r="K44" t="str">
        <f t="shared" si="18"/>
        <v>10111</v>
      </c>
      <c r="L44" t="str">
        <f t="shared" si="19"/>
        <v>100001</v>
      </c>
      <c r="M44" t="str">
        <f t="shared" si="20"/>
        <v>00001</v>
      </c>
      <c r="O44">
        <f t="shared" si="21"/>
        <v>23</v>
      </c>
      <c r="P44">
        <f t="shared" si="22"/>
        <v>33</v>
      </c>
      <c r="Q44">
        <f t="shared" si="23"/>
        <v>1</v>
      </c>
      <c r="S44">
        <f t="shared" si="24"/>
        <v>47104</v>
      </c>
      <c r="T44">
        <f t="shared" si="25"/>
        <v>1056</v>
      </c>
      <c r="U44">
        <f t="shared" si="26"/>
        <v>1</v>
      </c>
      <c r="V44">
        <f t="shared" si="27"/>
        <v>48161</v>
      </c>
      <c r="X44" t="str">
        <f t="shared" si="28"/>
        <v>#define DARK_GOLDEN_ROD NEW_COLOR(23,33,1)</v>
      </c>
    </row>
    <row r="45" spans="1:24" ht="15.6" hidden="1" thickBot="1">
      <c r="A45" s="61"/>
      <c r="B45" s="25" t="s">
        <v>313</v>
      </c>
      <c r="C45" s="25" t="s">
        <v>136</v>
      </c>
      <c r="D45" s="25" t="s">
        <v>137</v>
      </c>
      <c r="E45" s="185"/>
      <c r="F45" s="320"/>
      <c r="G45" t="str">
        <f t="shared" si="15"/>
        <v>11011010</v>
      </c>
      <c r="H45" t="str">
        <f t="shared" si="16"/>
        <v>10100101</v>
      </c>
      <c r="I45" t="str">
        <f t="shared" si="17"/>
        <v>00100000</v>
      </c>
      <c r="K45" t="str">
        <f t="shared" si="18"/>
        <v>11011</v>
      </c>
      <c r="L45" t="str">
        <f t="shared" si="19"/>
        <v>101001</v>
      </c>
      <c r="M45" t="str">
        <f t="shared" si="20"/>
        <v>00100</v>
      </c>
      <c r="O45">
        <f t="shared" si="21"/>
        <v>27</v>
      </c>
      <c r="P45">
        <f t="shared" si="22"/>
        <v>41</v>
      </c>
      <c r="Q45">
        <f t="shared" si="23"/>
        <v>4</v>
      </c>
      <c r="S45">
        <f t="shared" si="24"/>
        <v>55296</v>
      </c>
      <c r="T45">
        <f t="shared" si="25"/>
        <v>1312</v>
      </c>
      <c r="U45">
        <f t="shared" si="26"/>
        <v>4</v>
      </c>
      <c r="V45">
        <f t="shared" si="27"/>
        <v>56612</v>
      </c>
      <c r="X45" t="str">
        <f t="shared" si="28"/>
        <v>#define GOLDEN_ROD NEW_COLOR(27,41,4)</v>
      </c>
    </row>
    <row r="46" spans="1:24" ht="15.6" hidden="1" thickBot="1">
      <c r="A46" s="62"/>
      <c r="B46" s="25" t="s">
        <v>314</v>
      </c>
      <c r="C46" s="25" t="s">
        <v>138</v>
      </c>
      <c r="D46" s="30">
        <v>-238232170</v>
      </c>
      <c r="E46" s="186"/>
      <c r="F46" s="321"/>
      <c r="G46" t="str">
        <f t="shared" si="15"/>
        <v>11101110</v>
      </c>
      <c r="H46" t="str">
        <f t="shared" si="16"/>
        <v>11101000</v>
      </c>
      <c r="I46" t="str">
        <f t="shared" si="17"/>
        <v>10101010</v>
      </c>
      <c r="K46" t="str">
        <f t="shared" si="18"/>
        <v>11101</v>
      </c>
      <c r="L46" t="str">
        <f t="shared" si="19"/>
        <v>111010</v>
      </c>
      <c r="M46" t="str">
        <f t="shared" si="20"/>
        <v>10101</v>
      </c>
      <c r="O46">
        <f t="shared" si="21"/>
        <v>29</v>
      </c>
      <c r="P46">
        <f t="shared" si="22"/>
        <v>58</v>
      </c>
      <c r="Q46">
        <f t="shared" si="23"/>
        <v>21</v>
      </c>
      <c r="S46">
        <f t="shared" si="24"/>
        <v>59392</v>
      </c>
      <c r="T46">
        <f t="shared" si="25"/>
        <v>1856</v>
      </c>
      <c r="U46">
        <f t="shared" si="26"/>
        <v>21</v>
      </c>
      <c r="V46">
        <f t="shared" si="27"/>
        <v>61269</v>
      </c>
      <c r="X46" t="str">
        <f t="shared" si="28"/>
        <v>#define PALE_GOLDEN_ROD NEW_COLOR(29,58,21)</v>
      </c>
    </row>
    <row r="47" spans="1:24" ht="15.6" hidden="1" thickBot="1">
      <c r="A47" s="63"/>
      <c r="B47" s="25" t="s">
        <v>315</v>
      </c>
      <c r="C47" s="25" t="s">
        <v>139</v>
      </c>
      <c r="D47" s="30">
        <v>-189183107</v>
      </c>
      <c r="E47" s="187"/>
      <c r="F47" s="322"/>
      <c r="G47" t="str">
        <f t="shared" si="15"/>
        <v>10111101</v>
      </c>
      <c r="H47" t="str">
        <f t="shared" si="16"/>
        <v>10110111</v>
      </c>
      <c r="I47" t="str">
        <f t="shared" si="17"/>
        <v>01101011</v>
      </c>
      <c r="K47" t="str">
        <f t="shared" si="18"/>
        <v>10111</v>
      </c>
      <c r="L47" t="str">
        <f t="shared" si="19"/>
        <v>101101</v>
      </c>
      <c r="M47" t="str">
        <f t="shared" si="20"/>
        <v>01101</v>
      </c>
      <c r="O47">
        <f t="shared" si="21"/>
        <v>23</v>
      </c>
      <c r="P47">
        <f t="shared" si="22"/>
        <v>45</v>
      </c>
      <c r="Q47">
        <f t="shared" si="23"/>
        <v>13</v>
      </c>
      <c r="S47">
        <f t="shared" si="24"/>
        <v>47104</v>
      </c>
      <c r="T47">
        <f t="shared" si="25"/>
        <v>1440</v>
      </c>
      <c r="U47">
        <f t="shared" si="26"/>
        <v>13</v>
      </c>
      <c r="V47">
        <f t="shared" si="27"/>
        <v>48557</v>
      </c>
      <c r="X47" t="str">
        <f t="shared" si="28"/>
        <v>#define DARK_KHAKI NEW_COLOR(23,45,13)</v>
      </c>
    </row>
    <row r="48" spans="1:24" ht="15.6" hidden="1" thickBot="1">
      <c r="A48" s="64"/>
      <c r="B48" s="25" t="s">
        <v>140</v>
      </c>
      <c r="C48" s="25" t="s">
        <v>141</v>
      </c>
      <c r="D48" s="30">
        <v>-240230140</v>
      </c>
      <c r="E48" s="188"/>
      <c r="F48" s="323"/>
      <c r="G48" t="str">
        <f t="shared" si="15"/>
        <v>11110000</v>
      </c>
      <c r="H48" t="str">
        <f t="shared" si="16"/>
        <v>11100110</v>
      </c>
      <c r="I48" t="str">
        <f t="shared" si="17"/>
        <v>10001100</v>
      </c>
      <c r="K48" t="str">
        <f t="shared" si="18"/>
        <v>11110</v>
      </c>
      <c r="L48" t="str">
        <f t="shared" si="19"/>
        <v>111001</v>
      </c>
      <c r="M48" t="str">
        <f t="shared" si="20"/>
        <v>10001</v>
      </c>
      <c r="O48">
        <f t="shared" si="21"/>
        <v>30</v>
      </c>
      <c r="P48">
        <f t="shared" si="22"/>
        <v>57</v>
      </c>
      <c r="Q48">
        <f t="shared" si="23"/>
        <v>17</v>
      </c>
      <c r="S48">
        <f t="shared" si="24"/>
        <v>61440</v>
      </c>
      <c r="T48">
        <f t="shared" si="25"/>
        <v>1824</v>
      </c>
      <c r="U48">
        <f t="shared" si="26"/>
        <v>17</v>
      </c>
      <c r="V48">
        <f t="shared" si="27"/>
        <v>63281</v>
      </c>
      <c r="X48" t="str">
        <f t="shared" si="28"/>
        <v>#define KHAKI NEW_COLOR(30,57,17)</v>
      </c>
    </row>
    <row r="49" spans="1:24" ht="15.6" hidden="1" thickBot="1">
      <c r="A49" s="40"/>
      <c r="B49" s="25" t="s">
        <v>142</v>
      </c>
      <c r="C49" s="25" t="s">
        <v>89</v>
      </c>
      <c r="D49" s="25" t="s">
        <v>90</v>
      </c>
      <c r="E49" s="189"/>
      <c r="F49" s="189"/>
      <c r="G49" t="str">
        <f t="shared" si="15"/>
        <v>10000000</v>
      </c>
      <c r="H49" t="str">
        <f t="shared" si="16"/>
        <v>10000000</v>
      </c>
      <c r="I49" t="str">
        <f t="shared" si="17"/>
        <v>00000000</v>
      </c>
      <c r="K49" t="str">
        <f t="shared" si="18"/>
        <v>10000</v>
      </c>
      <c r="L49" t="str">
        <f t="shared" si="19"/>
        <v>100000</v>
      </c>
      <c r="M49" t="str">
        <f t="shared" si="20"/>
        <v>00000</v>
      </c>
      <c r="O49">
        <f t="shared" si="21"/>
        <v>16</v>
      </c>
      <c r="P49">
        <f t="shared" si="22"/>
        <v>32</v>
      </c>
      <c r="Q49">
        <f t="shared" si="23"/>
        <v>0</v>
      </c>
      <c r="S49">
        <f t="shared" si="24"/>
        <v>32768</v>
      </c>
      <c r="T49">
        <f t="shared" si="25"/>
        <v>1024</v>
      </c>
      <c r="U49">
        <f t="shared" si="26"/>
        <v>0</v>
      </c>
      <c r="V49">
        <f t="shared" si="27"/>
        <v>33792</v>
      </c>
      <c r="X49" t="str">
        <f t="shared" si="28"/>
        <v>#define OLIVE NEW_COLOR(16,32,0)</v>
      </c>
    </row>
    <row r="50" spans="1:24" ht="15.6" hidden="1" thickBot="1">
      <c r="A50" s="34"/>
      <c r="B50" s="25" t="s">
        <v>61</v>
      </c>
      <c r="C50" s="25" t="s">
        <v>79</v>
      </c>
      <c r="D50" s="25" t="s">
        <v>80</v>
      </c>
      <c r="E50" s="23"/>
      <c r="F50" s="324"/>
      <c r="G50" t="str">
        <f t="shared" si="15"/>
        <v>11111111</v>
      </c>
      <c r="H50" t="str">
        <f t="shared" si="16"/>
        <v>11111111</v>
      </c>
      <c r="I50" t="str">
        <f t="shared" si="17"/>
        <v>00000000</v>
      </c>
      <c r="K50" t="str">
        <f t="shared" si="18"/>
        <v>11111</v>
      </c>
      <c r="L50" t="str">
        <f t="shared" si="19"/>
        <v>111111</v>
      </c>
      <c r="M50" t="str">
        <f t="shared" si="20"/>
        <v>00000</v>
      </c>
      <c r="O50">
        <f t="shared" si="21"/>
        <v>31</v>
      </c>
      <c r="P50">
        <f t="shared" si="22"/>
        <v>63</v>
      </c>
      <c r="Q50">
        <f t="shared" si="23"/>
        <v>0</v>
      </c>
      <c r="S50">
        <f t="shared" si="24"/>
        <v>63488</v>
      </c>
      <c r="T50">
        <f t="shared" si="25"/>
        <v>2016</v>
      </c>
      <c r="U50">
        <f t="shared" si="26"/>
        <v>0</v>
      </c>
      <c r="V50">
        <f t="shared" si="27"/>
        <v>65504</v>
      </c>
      <c r="X50" t="str">
        <f t="shared" si="28"/>
        <v>#define YELLOW NEW_COLOR(31,63,0)</v>
      </c>
    </row>
    <row r="51" spans="1:24" ht="15.6" hidden="1" thickBot="1">
      <c r="A51" s="65"/>
      <c r="B51" s="25" t="s">
        <v>316</v>
      </c>
      <c r="C51" s="25" t="s">
        <v>143</v>
      </c>
      <c r="D51" s="25" t="s">
        <v>144</v>
      </c>
      <c r="E51" s="190"/>
      <c r="F51" s="325"/>
      <c r="G51" t="str">
        <f t="shared" si="15"/>
        <v>10011010</v>
      </c>
      <c r="H51" t="str">
        <f t="shared" si="16"/>
        <v>11001101</v>
      </c>
      <c r="I51" t="str">
        <f t="shared" si="17"/>
        <v>00110010</v>
      </c>
      <c r="K51" t="str">
        <f t="shared" si="18"/>
        <v>10011</v>
      </c>
      <c r="L51" t="str">
        <f t="shared" si="19"/>
        <v>110011</v>
      </c>
      <c r="M51" t="str">
        <f t="shared" si="20"/>
        <v>00110</v>
      </c>
      <c r="O51">
        <f t="shared" si="21"/>
        <v>19</v>
      </c>
      <c r="P51">
        <f t="shared" si="22"/>
        <v>51</v>
      </c>
      <c r="Q51">
        <f t="shared" si="23"/>
        <v>6</v>
      </c>
      <c r="S51">
        <f t="shared" si="24"/>
        <v>38912</v>
      </c>
      <c r="T51">
        <f t="shared" si="25"/>
        <v>1632</v>
      </c>
      <c r="U51">
        <f t="shared" si="26"/>
        <v>6</v>
      </c>
      <c r="V51">
        <f t="shared" si="27"/>
        <v>40550</v>
      </c>
      <c r="X51" t="str">
        <f t="shared" si="28"/>
        <v>#define YELLOW_GREEN NEW_COLOR(19,51,6)</v>
      </c>
    </row>
    <row r="52" spans="1:24" ht="15.6" hidden="1" thickBot="1">
      <c r="A52" s="66"/>
      <c r="B52" s="25" t="s">
        <v>317</v>
      </c>
      <c r="C52" s="25" t="s">
        <v>145</v>
      </c>
      <c r="D52" s="25" t="s">
        <v>146</v>
      </c>
      <c r="E52" s="191"/>
      <c r="F52" s="326"/>
      <c r="G52" t="str">
        <f t="shared" si="15"/>
        <v>01010101</v>
      </c>
      <c r="H52" t="str">
        <f t="shared" si="16"/>
        <v>01101011</v>
      </c>
      <c r="I52" t="str">
        <f t="shared" si="17"/>
        <v>00101111</v>
      </c>
      <c r="K52" t="str">
        <f t="shared" si="18"/>
        <v>01010</v>
      </c>
      <c r="L52" t="str">
        <f t="shared" si="19"/>
        <v>011010</v>
      </c>
      <c r="M52" t="str">
        <f t="shared" si="20"/>
        <v>00101</v>
      </c>
      <c r="O52">
        <f t="shared" si="21"/>
        <v>10</v>
      </c>
      <c r="P52">
        <f t="shared" si="22"/>
        <v>26</v>
      </c>
      <c r="Q52">
        <f t="shared" si="23"/>
        <v>5</v>
      </c>
      <c r="S52">
        <f t="shared" si="24"/>
        <v>20480</v>
      </c>
      <c r="T52">
        <f t="shared" si="25"/>
        <v>832</v>
      </c>
      <c r="U52">
        <f t="shared" si="26"/>
        <v>5</v>
      </c>
      <c r="V52">
        <f t="shared" si="27"/>
        <v>21317</v>
      </c>
      <c r="X52" t="str">
        <f t="shared" si="28"/>
        <v>#define DARK_OLIVE_GREEN NEW_COLOR(10,26,5)</v>
      </c>
    </row>
    <row r="53" spans="1:24" ht="15.6" hidden="1" thickBot="1">
      <c r="A53" s="67"/>
      <c r="B53" s="25" t="s">
        <v>318</v>
      </c>
      <c r="C53" s="25" t="s">
        <v>147</v>
      </c>
      <c r="D53" s="25" t="s">
        <v>148</v>
      </c>
      <c r="E53" s="192"/>
      <c r="F53" s="327"/>
      <c r="G53" t="str">
        <f t="shared" si="15"/>
        <v>01101011</v>
      </c>
      <c r="H53" t="str">
        <f t="shared" si="16"/>
        <v>10001110</v>
      </c>
      <c r="I53" t="str">
        <f t="shared" si="17"/>
        <v>00100011</v>
      </c>
      <c r="K53" t="str">
        <f t="shared" si="18"/>
        <v>01101</v>
      </c>
      <c r="L53" t="str">
        <f t="shared" si="19"/>
        <v>100011</v>
      </c>
      <c r="M53" t="str">
        <f t="shared" si="20"/>
        <v>00100</v>
      </c>
      <c r="O53">
        <f t="shared" si="21"/>
        <v>13</v>
      </c>
      <c r="P53">
        <f t="shared" si="22"/>
        <v>35</v>
      </c>
      <c r="Q53">
        <f t="shared" si="23"/>
        <v>4</v>
      </c>
      <c r="S53">
        <f t="shared" si="24"/>
        <v>26624</v>
      </c>
      <c r="T53">
        <f t="shared" si="25"/>
        <v>1120</v>
      </c>
      <c r="U53">
        <f t="shared" si="26"/>
        <v>4</v>
      </c>
      <c r="V53">
        <f t="shared" si="27"/>
        <v>27748</v>
      </c>
      <c r="X53" t="str">
        <f t="shared" si="28"/>
        <v>#define OLIVE_DRAB NEW_COLOR(13,35,4)</v>
      </c>
    </row>
    <row r="54" spans="1:24" ht="15.6" hidden="1" thickBot="1">
      <c r="A54" s="68"/>
      <c r="B54" s="25" t="s">
        <v>319</v>
      </c>
      <c r="C54" s="25" t="s">
        <v>149</v>
      </c>
      <c r="D54" s="25" t="s">
        <v>150</v>
      </c>
      <c r="E54" s="193"/>
      <c r="F54" s="328"/>
      <c r="G54" t="str">
        <f t="shared" si="15"/>
        <v>01111100</v>
      </c>
      <c r="H54" t="str">
        <f t="shared" si="16"/>
        <v>11111100</v>
      </c>
      <c r="I54" t="str">
        <f t="shared" si="17"/>
        <v>00000000</v>
      </c>
      <c r="K54" t="str">
        <f t="shared" si="18"/>
        <v>01111</v>
      </c>
      <c r="L54" t="str">
        <f t="shared" si="19"/>
        <v>111111</v>
      </c>
      <c r="M54" t="str">
        <f t="shared" si="20"/>
        <v>00000</v>
      </c>
      <c r="O54">
        <f t="shared" si="21"/>
        <v>15</v>
      </c>
      <c r="P54">
        <f t="shared" si="22"/>
        <v>63</v>
      </c>
      <c r="Q54">
        <f t="shared" si="23"/>
        <v>0</v>
      </c>
      <c r="S54">
        <f t="shared" si="24"/>
        <v>30720</v>
      </c>
      <c r="T54">
        <f t="shared" si="25"/>
        <v>2016</v>
      </c>
      <c r="U54">
        <f t="shared" si="26"/>
        <v>0</v>
      </c>
      <c r="V54">
        <f t="shared" si="27"/>
        <v>32736</v>
      </c>
      <c r="X54" t="str">
        <f t="shared" si="28"/>
        <v>#define LAWN_GREEN NEW_COLOR(15,63,0)</v>
      </c>
    </row>
    <row r="55" spans="1:24" ht="15.6" hidden="1" thickBot="1">
      <c r="A55" s="69"/>
      <c r="B55" s="25" t="s">
        <v>151</v>
      </c>
      <c r="C55" s="25" t="s">
        <v>152</v>
      </c>
      <c r="D55" s="25" t="s">
        <v>153</v>
      </c>
      <c r="E55" s="194"/>
      <c r="F55" s="328"/>
      <c r="G55" t="str">
        <f t="shared" si="15"/>
        <v>01111111</v>
      </c>
      <c r="H55" t="str">
        <f t="shared" si="16"/>
        <v>11111111</v>
      </c>
      <c r="I55" t="str">
        <f t="shared" si="17"/>
        <v>00000000</v>
      </c>
      <c r="K55" t="str">
        <f t="shared" si="18"/>
        <v>01111</v>
      </c>
      <c r="L55" t="str">
        <f t="shared" si="19"/>
        <v>111111</v>
      </c>
      <c r="M55" t="str">
        <f t="shared" si="20"/>
        <v>00000</v>
      </c>
      <c r="O55">
        <f t="shared" si="21"/>
        <v>15</v>
      </c>
      <c r="P55">
        <f t="shared" si="22"/>
        <v>63</v>
      </c>
      <c r="Q55">
        <f t="shared" si="23"/>
        <v>0</v>
      </c>
      <c r="S55">
        <f t="shared" si="24"/>
        <v>30720</v>
      </c>
      <c r="T55">
        <f t="shared" si="25"/>
        <v>2016</v>
      </c>
      <c r="U55">
        <f t="shared" si="26"/>
        <v>0</v>
      </c>
      <c r="V55">
        <f t="shared" si="27"/>
        <v>32736</v>
      </c>
      <c r="X55" t="str">
        <f t="shared" si="28"/>
        <v>#define CHARTREUSE NEW_COLOR(15,63,0)</v>
      </c>
    </row>
    <row r="56" spans="1:24" ht="15.6" hidden="1" thickBot="1">
      <c r="A56" s="70"/>
      <c r="B56" s="25" t="s">
        <v>320</v>
      </c>
      <c r="C56" s="25" t="s">
        <v>154</v>
      </c>
      <c r="D56" s="25" t="s">
        <v>155</v>
      </c>
      <c r="E56" s="195"/>
      <c r="F56" s="329"/>
      <c r="G56" t="str">
        <f t="shared" si="15"/>
        <v>10101101</v>
      </c>
      <c r="H56" t="str">
        <f t="shared" si="16"/>
        <v>11111111</v>
      </c>
      <c r="I56" t="str">
        <f t="shared" si="17"/>
        <v>00101111</v>
      </c>
      <c r="K56" t="str">
        <f t="shared" si="18"/>
        <v>10101</v>
      </c>
      <c r="L56" t="str">
        <f t="shared" si="19"/>
        <v>111111</v>
      </c>
      <c r="M56" t="str">
        <f t="shared" si="20"/>
        <v>00101</v>
      </c>
      <c r="O56">
        <f t="shared" si="21"/>
        <v>21</v>
      </c>
      <c r="P56">
        <f t="shared" si="22"/>
        <v>63</v>
      </c>
      <c r="Q56">
        <f t="shared" si="23"/>
        <v>5</v>
      </c>
      <c r="S56">
        <f t="shared" si="24"/>
        <v>43008</v>
      </c>
      <c r="T56">
        <f t="shared" si="25"/>
        <v>2016</v>
      </c>
      <c r="U56">
        <f t="shared" si="26"/>
        <v>5</v>
      </c>
      <c r="V56">
        <f t="shared" si="27"/>
        <v>45029</v>
      </c>
      <c r="X56" t="str">
        <f t="shared" si="28"/>
        <v>#define GREEN_YELLOW NEW_COLOR(21,63,5)</v>
      </c>
    </row>
    <row r="57" spans="1:24" ht="15.6" hidden="1" thickBot="1">
      <c r="A57" s="71"/>
      <c r="B57" s="25" t="s">
        <v>43</v>
      </c>
      <c r="C57" s="25" t="s">
        <v>156</v>
      </c>
      <c r="D57" s="25" t="s">
        <v>157</v>
      </c>
      <c r="E57" s="196"/>
      <c r="F57" s="196"/>
      <c r="G57" t="str">
        <f t="shared" si="15"/>
        <v>00000000</v>
      </c>
      <c r="H57" t="str">
        <f t="shared" si="16"/>
        <v>01100100</v>
      </c>
      <c r="I57" t="str">
        <f t="shared" si="17"/>
        <v>00000000</v>
      </c>
      <c r="K57" t="str">
        <f t="shared" si="18"/>
        <v>00000</v>
      </c>
      <c r="L57" t="str">
        <f t="shared" si="19"/>
        <v>011001</v>
      </c>
      <c r="M57" t="str">
        <f t="shared" si="20"/>
        <v>00000</v>
      </c>
      <c r="O57">
        <f t="shared" si="21"/>
        <v>0</v>
      </c>
      <c r="P57">
        <f t="shared" si="22"/>
        <v>25</v>
      </c>
      <c r="Q57">
        <f t="shared" si="23"/>
        <v>0</v>
      </c>
      <c r="S57">
        <f t="shared" si="24"/>
        <v>0</v>
      </c>
      <c r="T57">
        <f t="shared" si="25"/>
        <v>800</v>
      </c>
      <c r="U57">
        <f t="shared" si="26"/>
        <v>0</v>
      </c>
      <c r="V57">
        <f t="shared" si="27"/>
        <v>800</v>
      </c>
      <c r="X57" t="str">
        <f t="shared" si="28"/>
        <v>#define DARK_GREEN NEW_COLOR(0,25,0)</v>
      </c>
    </row>
    <row r="58" spans="1:24" ht="15.6" hidden="1" thickBot="1">
      <c r="A58" s="41"/>
      <c r="B58" s="25" t="s">
        <v>47</v>
      </c>
      <c r="C58" s="25" t="s">
        <v>91</v>
      </c>
      <c r="D58" s="25" t="s">
        <v>92</v>
      </c>
      <c r="E58" s="197"/>
      <c r="F58" s="197"/>
      <c r="G58" t="str">
        <f t="shared" si="15"/>
        <v>00000000</v>
      </c>
      <c r="H58" t="str">
        <f t="shared" si="16"/>
        <v>10000000</v>
      </c>
      <c r="I58" t="str">
        <f t="shared" si="17"/>
        <v>00000000</v>
      </c>
      <c r="K58" t="str">
        <f t="shared" si="18"/>
        <v>00000</v>
      </c>
      <c r="L58" t="str">
        <f t="shared" si="19"/>
        <v>100000</v>
      </c>
      <c r="M58" t="str">
        <f t="shared" si="20"/>
        <v>00000</v>
      </c>
      <c r="O58">
        <f t="shared" si="21"/>
        <v>0</v>
      </c>
      <c r="P58">
        <f t="shared" si="22"/>
        <v>32</v>
      </c>
      <c r="Q58">
        <f t="shared" si="23"/>
        <v>0</v>
      </c>
      <c r="S58">
        <f t="shared" si="24"/>
        <v>0</v>
      </c>
      <c r="T58">
        <f t="shared" si="25"/>
        <v>1024</v>
      </c>
      <c r="U58">
        <f t="shared" si="26"/>
        <v>0</v>
      </c>
      <c r="V58">
        <f t="shared" si="27"/>
        <v>1024</v>
      </c>
      <c r="X58" t="str">
        <f t="shared" si="28"/>
        <v>#define GREEN NEW_COLOR(0,32,0)</v>
      </c>
    </row>
    <row r="59" spans="1:24" ht="15.6" hidden="1" thickBot="1">
      <c r="A59" s="72"/>
      <c r="B59" s="25" t="s">
        <v>321</v>
      </c>
      <c r="C59" s="25" t="s">
        <v>158</v>
      </c>
      <c r="D59" s="25" t="s">
        <v>159</v>
      </c>
      <c r="E59" s="198"/>
      <c r="F59" s="330"/>
      <c r="G59" t="str">
        <f t="shared" si="15"/>
        <v>00100010</v>
      </c>
      <c r="H59" t="str">
        <f t="shared" si="16"/>
        <v>10001011</v>
      </c>
      <c r="I59" t="str">
        <f t="shared" si="17"/>
        <v>00100010</v>
      </c>
      <c r="K59" t="str">
        <f t="shared" si="18"/>
        <v>00100</v>
      </c>
      <c r="L59" t="str">
        <f t="shared" si="19"/>
        <v>100010</v>
      </c>
      <c r="M59" t="str">
        <f t="shared" si="20"/>
        <v>00100</v>
      </c>
      <c r="O59">
        <f t="shared" si="21"/>
        <v>4</v>
      </c>
      <c r="P59">
        <f t="shared" si="22"/>
        <v>34</v>
      </c>
      <c r="Q59">
        <f t="shared" si="23"/>
        <v>4</v>
      </c>
      <c r="S59">
        <f t="shared" si="24"/>
        <v>8192</v>
      </c>
      <c r="T59">
        <f t="shared" si="25"/>
        <v>1088</v>
      </c>
      <c r="U59">
        <f t="shared" si="26"/>
        <v>4</v>
      </c>
      <c r="V59">
        <f t="shared" si="27"/>
        <v>9284</v>
      </c>
      <c r="X59" t="str">
        <f t="shared" si="28"/>
        <v>#define FOREST_GREEN NEW_COLOR(4,34,4)</v>
      </c>
    </row>
    <row r="60" spans="1:24" ht="15.6" hidden="1" thickBot="1">
      <c r="A60" s="32"/>
      <c r="B60" s="25" t="s">
        <v>160</v>
      </c>
      <c r="C60" s="25" t="s">
        <v>75</v>
      </c>
      <c r="D60" s="25" t="s">
        <v>76</v>
      </c>
      <c r="E60" s="199"/>
      <c r="F60" s="331"/>
      <c r="G60" t="str">
        <f t="shared" si="15"/>
        <v>00000000</v>
      </c>
      <c r="H60" t="str">
        <f t="shared" si="16"/>
        <v>11111111</v>
      </c>
      <c r="I60" t="str">
        <f t="shared" si="17"/>
        <v>00000000</v>
      </c>
      <c r="K60" t="str">
        <f t="shared" si="18"/>
        <v>00000</v>
      </c>
      <c r="L60" t="str">
        <f t="shared" si="19"/>
        <v>111111</v>
      </c>
      <c r="M60" t="str">
        <f t="shared" si="20"/>
        <v>00000</v>
      </c>
      <c r="O60">
        <f t="shared" si="21"/>
        <v>0</v>
      </c>
      <c r="P60">
        <f t="shared" si="22"/>
        <v>63</v>
      </c>
      <c r="Q60">
        <f t="shared" si="23"/>
        <v>0</v>
      </c>
      <c r="S60">
        <f t="shared" si="24"/>
        <v>0</v>
      </c>
      <c r="T60">
        <f t="shared" si="25"/>
        <v>2016</v>
      </c>
      <c r="U60">
        <f t="shared" si="26"/>
        <v>0</v>
      </c>
      <c r="V60">
        <f t="shared" si="27"/>
        <v>2016</v>
      </c>
      <c r="X60" t="str">
        <f t="shared" si="28"/>
        <v>#define LIME NEW_COLOR(0,63,0)</v>
      </c>
    </row>
    <row r="61" spans="1:24" ht="15.6" hidden="1" thickBot="1">
      <c r="A61" s="73"/>
      <c r="B61" s="25" t="s">
        <v>322</v>
      </c>
      <c r="C61" s="25" t="s">
        <v>161</v>
      </c>
      <c r="D61" s="25" t="s">
        <v>162</v>
      </c>
      <c r="E61" s="200"/>
      <c r="F61" s="332"/>
      <c r="G61" t="str">
        <f t="shared" si="15"/>
        <v>00110010</v>
      </c>
      <c r="H61" t="str">
        <f t="shared" si="16"/>
        <v>11001101</v>
      </c>
      <c r="I61" t="str">
        <f t="shared" si="17"/>
        <v>00110010</v>
      </c>
      <c r="K61" t="str">
        <f t="shared" si="18"/>
        <v>00110</v>
      </c>
      <c r="L61" t="str">
        <f t="shared" si="19"/>
        <v>110011</v>
      </c>
      <c r="M61" t="str">
        <f t="shared" si="20"/>
        <v>00110</v>
      </c>
      <c r="O61">
        <f t="shared" si="21"/>
        <v>6</v>
      </c>
      <c r="P61">
        <f t="shared" si="22"/>
        <v>51</v>
      </c>
      <c r="Q61">
        <f t="shared" si="23"/>
        <v>6</v>
      </c>
      <c r="S61">
        <f t="shared" si="24"/>
        <v>12288</v>
      </c>
      <c r="T61">
        <f t="shared" si="25"/>
        <v>1632</v>
      </c>
      <c r="U61">
        <f t="shared" si="26"/>
        <v>6</v>
      </c>
      <c r="V61">
        <f t="shared" si="27"/>
        <v>13926</v>
      </c>
      <c r="X61" t="str">
        <f t="shared" si="28"/>
        <v>#define LIME_GREEN NEW_COLOR(6,51,6)</v>
      </c>
    </row>
    <row r="62" spans="1:24" ht="15.6" hidden="1" thickBot="1">
      <c r="A62" s="74"/>
      <c r="B62" s="25" t="s">
        <v>50</v>
      </c>
      <c r="C62" s="25" t="s">
        <v>163</v>
      </c>
      <c r="D62" s="30">
        <v>-144238144</v>
      </c>
      <c r="E62" s="201"/>
      <c r="F62" s="333"/>
      <c r="G62" t="str">
        <f t="shared" si="15"/>
        <v>10010000</v>
      </c>
      <c r="H62" t="str">
        <f t="shared" si="16"/>
        <v>11101110</v>
      </c>
      <c r="I62" t="str">
        <f t="shared" si="17"/>
        <v>10010000</v>
      </c>
      <c r="K62" t="str">
        <f t="shared" si="18"/>
        <v>10010</v>
      </c>
      <c r="L62" t="str">
        <f t="shared" si="19"/>
        <v>111011</v>
      </c>
      <c r="M62" t="str">
        <f t="shared" si="20"/>
        <v>10010</v>
      </c>
      <c r="O62">
        <f t="shared" si="21"/>
        <v>18</v>
      </c>
      <c r="P62">
        <f t="shared" si="22"/>
        <v>59</v>
      </c>
      <c r="Q62">
        <f t="shared" si="23"/>
        <v>18</v>
      </c>
      <c r="S62">
        <f t="shared" si="24"/>
        <v>36864</v>
      </c>
      <c r="T62">
        <f t="shared" si="25"/>
        <v>1888</v>
      </c>
      <c r="U62">
        <f t="shared" si="26"/>
        <v>18</v>
      </c>
      <c r="V62">
        <f t="shared" si="27"/>
        <v>38770</v>
      </c>
      <c r="X62" t="str">
        <f t="shared" si="28"/>
        <v>#define LIGHT_GREEN NEW_COLOR(18,59,18)</v>
      </c>
    </row>
    <row r="63" spans="1:24" ht="15.6" hidden="1" thickBot="1">
      <c r="A63" s="75"/>
      <c r="B63" s="25" t="s">
        <v>323</v>
      </c>
      <c r="C63" s="25" t="s">
        <v>164</v>
      </c>
      <c r="D63" s="30">
        <v>-152251152</v>
      </c>
      <c r="E63" s="202"/>
      <c r="F63" s="334"/>
      <c r="G63" t="str">
        <f t="shared" si="15"/>
        <v>10011000</v>
      </c>
      <c r="H63" t="str">
        <f t="shared" si="16"/>
        <v>11111011</v>
      </c>
      <c r="I63" t="str">
        <f t="shared" si="17"/>
        <v>10011000</v>
      </c>
      <c r="K63" t="str">
        <f t="shared" si="18"/>
        <v>10011</v>
      </c>
      <c r="L63" t="str">
        <f t="shared" si="19"/>
        <v>111110</v>
      </c>
      <c r="M63" t="str">
        <f t="shared" si="20"/>
        <v>10011</v>
      </c>
      <c r="O63">
        <f t="shared" si="21"/>
        <v>19</v>
      </c>
      <c r="P63">
        <f t="shared" si="22"/>
        <v>62</v>
      </c>
      <c r="Q63">
        <f t="shared" si="23"/>
        <v>19</v>
      </c>
      <c r="S63">
        <f t="shared" si="24"/>
        <v>38912</v>
      </c>
      <c r="T63">
        <f t="shared" si="25"/>
        <v>1984</v>
      </c>
      <c r="U63">
        <f t="shared" si="26"/>
        <v>19</v>
      </c>
      <c r="V63">
        <f t="shared" si="27"/>
        <v>40915</v>
      </c>
      <c r="X63" t="str">
        <f t="shared" si="28"/>
        <v>#define PALE_GREEN NEW_COLOR(19,62,19)</v>
      </c>
    </row>
    <row r="64" spans="1:24" ht="15.6" hidden="1" thickBot="1">
      <c r="A64" s="76"/>
      <c r="B64" s="25" t="s">
        <v>324</v>
      </c>
      <c r="C64" s="25" t="s">
        <v>165</v>
      </c>
      <c r="D64" s="30">
        <v>-143188143</v>
      </c>
      <c r="E64" s="203"/>
      <c r="F64" s="335"/>
      <c r="G64" t="str">
        <f t="shared" si="15"/>
        <v>10001111</v>
      </c>
      <c r="H64" t="str">
        <f t="shared" si="16"/>
        <v>10111100</v>
      </c>
      <c r="I64" t="str">
        <f t="shared" si="17"/>
        <v>10001111</v>
      </c>
      <c r="K64" t="str">
        <f t="shared" si="18"/>
        <v>10001</v>
      </c>
      <c r="L64" t="str">
        <f t="shared" si="19"/>
        <v>101111</v>
      </c>
      <c r="M64" t="str">
        <f t="shared" si="20"/>
        <v>10001</v>
      </c>
      <c r="O64">
        <f t="shared" si="21"/>
        <v>17</v>
      </c>
      <c r="P64">
        <f t="shared" si="22"/>
        <v>47</v>
      </c>
      <c r="Q64">
        <f t="shared" si="23"/>
        <v>17</v>
      </c>
      <c r="S64">
        <f t="shared" si="24"/>
        <v>34816</v>
      </c>
      <c r="T64">
        <f t="shared" si="25"/>
        <v>1504</v>
      </c>
      <c r="U64">
        <f t="shared" si="26"/>
        <v>17</v>
      </c>
      <c r="V64">
        <f t="shared" si="27"/>
        <v>36337</v>
      </c>
      <c r="X64" t="str">
        <f t="shared" si="28"/>
        <v>#define DARK_SEA_GREEN NEW_COLOR(17,47,17)</v>
      </c>
    </row>
    <row r="65" spans="1:24" ht="15.6" hidden="1" thickBot="1">
      <c r="A65" s="77"/>
      <c r="B65" s="25" t="s">
        <v>325</v>
      </c>
      <c r="C65" s="25" t="s">
        <v>166</v>
      </c>
      <c r="D65" s="25" t="s">
        <v>167</v>
      </c>
      <c r="E65" s="204"/>
      <c r="F65" s="336"/>
      <c r="G65" t="str">
        <f t="shared" si="15"/>
        <v>00000000</v>
      </c>
      <c r="H65" t="str">
        <f t="shared" si="16"/>
        <v>11111010</v>
      </c>
      <c r="I65" t="str">
        <f t="shared" si="17"/>
        <v>10011010</v>
      </c>
      <c r="K65" t="str">
        <f t="shared" si="18"/>
        <v>00000</v>
      </c>
      <c r="L65" t="str">
        <f t="shared" si="19"/>
        <v>111110</v>
      </c>
      <c r="M65" t="str">
        <f t="shared" si="20"/>
        <v>10011</v>
      </c>
      <c r="O65">
        <f t="shared" si="21"/>
        <v>0</v>
      </c>
      <c r="P65">
        <f t="shared" si="22"/>
        <v>62</v>
      </c>
      <c r="Q65">
        <f t="shared" si="23"/>
        <v>19</v>
      </c>
      <c r="S65">
        <f t="shared" si="24"/>
        <v>0</v>
      </c>
      <c r="T65">
        <f t="shared" si="25"/>
        <v>1984</v>
      </c>
      <c r="U65">
        <f t="shared" si="26"/>
        <v>19</v>
      </c>
      <c r="V65">
        <f t="shared" si="27"/>
        <v>2003</v>
      </c>
      <c r="X65" t="str">
        <f t="shared" si="28"/>
        <v>#define MEDIUM_SPRING_GREEN NEW_COLOR(0,62,19)</v>
      </c>
    </row>
    <row r="66" spans="1:24" ht="15.6" hidden="1" thickBot="1">
      <c r="A66" s="78"/>
      <c r="B66" s="25" t="s">
        <v>326</v>
      </c>
      <c r="C66" s="25" t="s">
        <v>168</v>
      </c>
      <c r="D66" s="25" t="s">
        <v>169</v>
      </c>
      <c r="E66" s="205"/>
      <c r="F66" s="337"/>
      <c r="G66" t="str">
        <f t="shared" si="15"/>
        <v>00000000</v>
      </c>
      <c r="H66" t="str">
        <f t="shared" si="16"/>
        <v>11111111</v>
      </c>
      <c r="I66" t="str">
        <f t="shared" si="17"/>
        <v>01111111</v>
      </c>
      <c r="K66" t="str">
        <f t="shared" si="18"/>
        <v>00000</v>
      </c>
      <c r="L66" t="str">
        <f t="shared" si="19"/>
        <v>111111</v>
      </c>
      <c r="M66" t="str">
        <f t="shared" si="20"/>
        <v>01111</v>
      </c>
      <c r="O66">
        <f t="shared" si="21"/>
        <v>0</v>
      </c>
      <c r="P66">
        <f t="shared" si="22"/>
        <v>63</v>
      </c>
      <c r="Q66">
        <f t="shared" si="23"/>
        <v>15</v>
      </c>
      <c r="S66">
        <f t="shared" si="24"/>
        <v>0</v>
      </c>
      <c r="T66">
        <f t="shared" si="25"/>
        <v>2016</v>
      </c>
      <c r="U66">
        <f t="shared" si="26"/>
        <v>15</v>
      </c>
      <c r="V66">
        <f t="shared" si="27"/>
        <v>2031</v>
      </c>
      <c r="X66" t="str">
        <f t="shared" si="28"/>
        <v>#define SPRING_GREEN NEW_COLOR(0,63,15)</v>
      </c>
    </row>
    <row r="67" spans="1:24" ht="15.6" hidden="1" thickBot="1">
      <c r="A67" s="79"/>
      <c r="B67" s="25" t="s">
        <v>327</v>
      </c>
      <c r="C67" s="25" t="s">
        <v>170</v>
      </c>
      <c r="D67" s="25" t="s">
        <v>171</v>
      </c>
      <c r="E67" s="206"/>
      <c r="F67" s="338"/>
      <c r="G67" t="str">
        <f t="shared" si="15"/>
        <v>00101110</v>
      </c>
      <c r="H67" t="str">
        <f t="shared" si="16"/>
        <v>10001011</v>
      </c>
      <c r="I67" t="str">
        <f t="shared" si="17"/>
        <v>01010111</v>
      </c>
      <c r="K67" t="str">
        <f t="shared" si="18"/>
        <v>00101</v>
      </c>
      <c r="L67" t="str">
        <f t="shared" si="19"/>
        <v>100010</v>
      </c>
      <c r="M67" t="str">
        <f t="shared" si="20"/>
        <v>01010</v>
      </c>
      <c r="O67">
        <f t="shared" si="21"/>
        <v>5</v>
      </c>
      <c r="P67">
        <f t="shared" si="22"/>
        <v>34</v>
      </c>
      <c r="Q67">
        <f t="shared" si="23"/>
        <v>10</v>
      </c>
      <c r="S67">
        <f t="shared" si="24"/>
        <v>10240</v>
      </c>
      <c r="T67">
        <f t="shared" si="25"/>
        <v>1088</v>
      </c>
      <c r="U67">
        <f t="shared" si="26"/>
        <v>10</v>
      </c>
      <c r="V67">
        <f t="shared" si="27"/>
        <v>11338</v>
      </c>
      <c r="X67" t="str">
        <f t="shared" si="28"/>
        <v>#define SEA_GREEN NEW_COLOR(5,34,10)</v>
      </c>
    </row>
    <row r="68" spans="1:24" ht="15.6" hidden="1" thickBot="1">
      <c r="A68" s="80"/>
      <c r="B68" s="25" t="s">
        <v>328</v>
      </c>
      <c r="C68" s="25" t="s">
        <v>172</v>
      </c>
      <c r="D68" s="30">
        <v>-102205170</v>
      </c>
      <c r="E68" s="207"/>
      <c r="F68" s="339"/>
      <c r="G68" t="str">
        <f t="shared" si="15"/>
        <v>01100110</v>
      </c>
      <c r="H68" t="str">
        <f t="shared" si="16"/>
        <v>11001101</v>
      </c>
      <c r="I68" t="str">
        <f t="shared" si="17"/>
        <v>10101010</v>
      </c>
      <c r="K68" t="str">
        <f t="shared" si="18"/>
        <v>01100</v>
      </c>
      <c r="L68" t="str">
        <f t="shared" si="19"/>
        <v>110011</v>
      </c>
      <c r="M68" t="str">
        <f t="shared" si="20"/>
        <v>10101</v>
      </c>
      <c r="O68">
        <f t="shared" si="21"/>
        <v>12</v>
      </c>
      <c r="P68">
        <f t="shared" si="22"/>
        <v>51</v>
      </c>
      <c r="Q68">
        <f t="shared" si="23"/>
        <v>21</v>
      </c>
      <c r="S68">
        <f t="shared" si="24"/>
        <v>24576</v>
      </c>
      <c r="T68">
        <f t="shared" si="25"/>
        <v>1632</v>
      </c>
      <c r="U68">
        <f t="shared" si="26"/>
        <v>21</v>
      </c>
      <c r="V68">
        <f t="shared" si="27"/>
        <v>26229</v>
      </c>
      <c r="X68" t="str">
        <f t="shared" si="28"/>
        <v>#define MEDIUM_AQUA_MARINE NEW_COLOR(12,51,21)</v>
      </c>
    </row>
    <row r="69" spans="1:24" ht="15.6" hidden="1" thickBot="1">
      <c r="A69" s="81"/>
      <c r="B69" s="25" t="s">
        <v>329</v>
      </c>
      <c r="C69" s="25" t="s">
        <v>173</v>
      </c>
      <c r="D69" s="30">
        <v>-60179113</v>
      </c>
      <c r="E69" s="208"/>
      <c r="F69" s="340"/>
      <c r="G69" t="str">
        <f t="shared" si="15"/>
        <v>00111100</v>
      </c>
      <c r="H69" t="str">
        <f t="shared" si="16"/>
        <v>10110011</v>
      </c>
      <c r="I69" t="str">
        <f t="shared" si="17"/>
        <v>01110001</v>
      </c>
      <c r="K69" t="str">
        <f t="shared" si="18"/>
        <v>00111</v>
      </c>
      <c r="L69" t="str">
        <f t="shared" si="19"/>
        <v>101100</v>
      </c>
      <c r="M69" t="str">
        <f t="shared" si="20"/>
        <v>01110</v>
      </c>
      <c r="O69">
        <f t="shared" si="21"/>
        <v>7</v>
      </c>
      <c r="P69">
        <f t="shared" si="22"/>
        <v>44</v>
      </c>
      <c r="Q69">
        <f t="shared" si="23"/>
        <v>14</v>
      </c>
      <c r="S69">
        <f t="shared" si="24"/>
        <v>14336</v>
      </c>
      <c r="T69">
        <f t="shared" si="25"/>
        <v>1408</v>
      </c>
      <c r="U69">
        <f t="shared" si="26"/>
        <v>14</v>
      </c>
      <c r="V69">
        <f t="shared" si="27"/>
        <v>15758</v>
      </c>
      <c r="X69" t="str">
        <f t="shared" si="28"/>
        <v>#define MEDIUM_SEA_GREEN NEW_COLOR(7,44,14)</v>
      </c>
    </row>
    <row r="70" spans="1:24" ht="15.6" hidden="1" thickBot="1">
      <c r="A70" s="82"/>
      <c r="B70" s="25" t="s">
        <v>330</v>
      </c>
      <c r="C70" s="25" t="s">
        <v>174</v>
      </c>
      <c r="D70" s="30">
        <v>-32178170</v>
      </c>
      <c r="E70" s="209"/>
      <c r="F70" s="341"/>
      <c r="G70" t="str">
        <f t="shared" si="15"/>
        <v>00100000</v>
      </c>
      <c r="H70" t="str">
        <f t="shared" si="16"/>
        <v>10110010</v>
      </c>
      <c r="I70" t="str">
        <f t="shared" si="17"/>
        <v>10101010</v>
      </c>
      <c r="K70" t="str">
        <f t="shared" si="18"/>
        <v>00100</v>
      </c>
      <c r="L70" t="str">
        <f t="shared" si="19"/>
        <v>101100</v>
      </c>
      <c r="M70" t="str">
        <f t="shared" si="20"/>
        <v>10101</v>
      </c>
      <c r="O70">
        <f t="shared" si="21"/>
        <v>4</v>
      </c>
      <c r="P70">
        <f t="shared" si="22"/>
        <v>44</v>
      </c>
      <c r="Q70">
        <f t="shared" si="23"/>
        <v>21</v>
      </c>
      <c r="S70">
        <f t="shared" si="24"/>
        <v>8192</v>
      </c>
      <c r="T70">
        <f t="shared" si="25"/>
        <v>1408</v>
      </c>
      <c r="U70">
        <f t="shared" si="26"/>
        <v>21</v>
      </c>
      <c r="V70">
        <f t="shared" si="27"/>
        <v>9621</v>
      </c>
      <c r="X70" t="str">
        <f t="shared" si="28"/>
        <v>#define LIGHT_SEA_GREEN NEW_COLOR(4,44,21)</v>
      </c>
    </row>
    <row r="71" spans="1:24" ht="15.6" hidden="1" thickBot="1">
      <c r="A71" s="83"/>
      <c r="B71" s="25" t="s">
        <v>331</v>
      </c>
      <c r="C71" s="25" t="s">
        <v>175</v>
      </c>
      <c r="D71" s="25" t="s">
        <v>176</v>
      </c>
      <c r="E71" s="210"/>
      <c r="F71" s="342"/>
      <c r="G71" t="str">
        <f t="shared" si="15"/>
        <v>00101111</v>
      </c>
      <c r="H71" t="str">
        <f t="shared" si="16"/>
        <v>01001111</v>
      </c>
      <c r="I71" t="str">
        <f t="shared" si="17"/>
        <v>01001111</v>
      </c>
      <c r="K71" t="str">
        <f t="shared" si="18"/>
        <v>00101</v>
      </c>
      <c r="L71" t="str">
        <f t="shared" si="19"/>
        <v>010011</v>
      </c>
      <c r="M71" t="str">
        <f t="shared" si="20"/>
        <v>01001</v>
      </c>
      <c r="O71">
        <f t="shared" si="21"/>
        <v>5</v>
      </c>
      <c r="P71">
        <f t="shared" si="22"/>
        <v>19</v>
      </c>
      <c r="Q71">
        <f t="shared" si="23"/>
        <v>9</v>
      </c>
      <c r="S71">
        <f t="shared" si="24"/>
        <v>10240</v>
      </c>
      <c r="T71">
        <f t="shared" si="25"/>
        <v>608</v>
      </c>
      <c r="U71">
        <f t="shared" si="26"/>
        <v>9</v>
      </c>
      <c r="V71">
        <f t="shared" si="27"/>
        <v>10857</v>
      </c>
      <c r="X71" t="str">
        <f t="shared" si="28"/>
        <v>#define DARK_SLATE_GRAY NEW_COLOR(5,19,9)</v>
      </c>
    </row>
    <row r="72" spans="1:24" ht="15.6" hidden="1" thickBot="1">
      <c r="A72" s="43"/>
      <c r="B72" s="25" t="s">
        <v>177</v>
      </c>
      <c r="C72" s="25" t="s">
        <v>95</v>
      </c>
      <c r="D72" s="25" t="s">
        <v>96</v>
      </c>
      <c r="E72" s="211"/>
      <c r="F72" s="211"/>
      <c r="G72" t="str">
        <f t="shared" si="15"/>
        <v>00000000</v>
      </c>
      <c r="H72" t="str">
        <f t="shared" si="16"/>
        <v>10000000</v>
      </c>
      <c r="I72" t="str">
        <f t="shared" si="17"/>
        <v>10000000</v>
      </c>
      <c r="K72" t="str">
        <f t="shared" ref="K72:K135" si="29">LEFT(G72,5)</f>
        <v>00000</v>
      </c>
      <c r="L72" t="str">
        <f t="shared" ref="L72:L135" si="30">LEFT(H72,6)</f>
        <v>100000</v>
      </c>
      <c r="M72" t="str">
        <f t="shared" ref="M72:M135" si="31">LEFT(I72,5)</f>
        <v>10000</v>
      </c>
      <c r="O72">
        <f t="shared" ref="O72:O135" si="32">BIN2DEC(K72)</f>
        <v>0</v>
      </c>
      <c r="P72">
        <f t="shared" ref="P72:P135" si="33">BIN2DEC(L72)</f>
        <v>32</v>
      </c>
      <c r="Q72">
        <f t="shared" ref="Q72:Q135" si="34">BIN2DEC(M72)</f>
        <v>16</v>
      </c>
      <c r="S72">
        <f t="shared" si="24"/>
        <v>0</v>
      </c>
      <c r="T72">
        <f t="shared" si="25"/>
        <v>1024</v>
      </c>
      <c r="U72">
        <f t="shared" si="26"/>
        <v>16</v>
      </c>
      <c r="V72">
        <f t="shared" si="27"/>
        <v>1040</v>
      </c>
      <c r="X72" t="str">
        <f t="shared" si="28"/>
        <v>#define TEAL NEW_COLOR(0,32,16)</v>
      </c>
    </row>
    <row r="73" spans="1:24" ht="15.6" hidden="1" thickBot="1">
      <c r="A73" s="84"/>
      <c r="B73" s="25" t="s">
        <v>332</v>
      </c>
      <c r="C73" s="25" t="s">
        <v>178</v>
      </c>
      <c r="D73" s="25" t="s">
        <v>179</v>
      </c>
      <c r="E73" s="212"/>
      <c r="F73" s="343"/>
      <c r="G73" t="str">
        <f t="shared" si="15"/>
        <v>00000000</v>
      </c>
      <c r="H73" t="str">
        <f t="shared" si="16"/>
        <v>10001011</v>
      </c>
      <c r="I73" t="str">
        <f t="shared" si="17"/>
        <v>10001011</v>
      </c>
      <c r="K73" t="str">
        <f t="shared" si="29"/>
        <v>00000</v>
      </c>
      <c r="L73" t="str">
        <f t="shared" si="30"/>
        <v>100010</v>
      </c>
      <c r="M73" t="str">
        <f t="shared" si="31"/>
        <v>10001</v>
      </c>
      <c r="O73">
        <f t="shared" si="32"/>
        <v>0</v>
      </c>
      <c r="P73">
        <f t="shared" si="33"/>
        <v>34</v>
      </c>
      <c r="Q73">
        <f t="shared" si="34"/>
        <v>17</v>
      </c>
      <c r="S73">
        <f t="shared" si="24"/>
        <v>0</v>
      </c>
      <c r="T73">
        <f t="shared" si="25"/>
        <v>1088</v>
      </c>
      <c r="U73">
        <f t="shared" si="26"/>
        <v>17</v>
      </c>
      <c r="V73">
        <f t="shared" si="27"/>
        <v>1105</v>
      </c>
      <c r="X73" t="str">
        <f t="shared" si="28"/>
        <v>#define DARK_CYAN NEW_COLOR(0,34,17)</v>
      </c>
    </row>
    <row r="74" spans="1:24" ht="15.6" hidden="1" thickBot="1">
      <c r="A74" s="35"/>
      <c r="B74" s="25" t="s">
        <v>180</v>
      </c>
      <c r="C74" s="25" t="s">
        <v>81</v>
      </c>
      <c r="D74" s="25" t="s">
        <v>82</v>
      </c>
      <c r="E74" s="213"/>
      <c r="F74" s="344"/>
      <c r="G74" t="str">
        <f t="shared" si="15"/>
        <v>00000000</v>
      </c>
      <c r="H74" t="str">
        <f t="shared" si="16"/>
        <v>11111111</v>
      </c>
      <c r="I74" t="str">
        <f t="shared" si="17"/>
        <v>11111111</v>
      </c>
      <c r="K74" t="str">
        <f t="shared" si="29"/>
        <v>00000</v>
      </c>
      <c r="L74" t="str">
        <f t="shared" si="30"/>
        <v>111111</v>
      </c>
      <c r="M74" t="str">
        <f t="shared" si="31"/>
        <v>11111</v>
      </c>
      <c r="O74">
        <f t="shared" si="32"/>
        <v>0</v>
      </c>
      <c r="P74">
        <f t="shared" si="33"/>
        <v>63</v>
      </c>
      <c r="Q74">
        <f t="shared" si="34"/>
        <v>31</v>
      </c>
      <c r="S74">
        <f t="shared" si="24"/>
        <v>0</v>
      </c>
      <c r="T74">
        <f t="shared" si="25"/>
        <v>2016</v>
      </c>
      <c r="U74">
        <f t="shared" si="26"/>
        <v>31</v>
      </c>
      <c r="V74">
        <f t="shared" si="27"/>
        <v>2047</v>
      </c>
      <c r="X74" t="str">
        <f t="shared" si="28"/>
        <v>#define AQUA NEW_COLOR(0,63,31)</v>
      </c>
    </row>
    <row r="75" spans="1:24" ht="15.6" hidden="1" thickBot="1">
      <c r="A75" s="35"/>
      <c r="B75" s="25" t="s">
        <v>181</v>
      </c>
      <c r="C75" s="25" t="s">
        <v>81</v>
      </c>
      <c r="D75" s="25" t="s">
        <v>82</v>
      </c>
      <c r="E75" s="213"/>
      <c r="F75" s="344"/>
      <c r="G75" t="str">
        <f t="shared" si="15"/>
        <v>00000000</v>
      </c>
      <c r="H75" t="str">
        <f t="shared" si="16"/>
        <v>11111111</v>
      </c>
      <c r="I75" t="str">
        <f t="shared" si="17"/>
        <v>11111111</v>
      </c>
      <c r="K75" t="str">
        <f t="shared" si="29"/>
        <v>00000</v>
      </c>
      <c r="L75" t="str">
        <f t="shared" si="30"/>
        <v>111111</v>
      </c>
      <c r="M75" t="str">
        <f t="shared" si="31"/>
        <v>11111</v>
      </c>
      <c r="O75">
        <f t="shared" si="32"/>
        <v>0</v>
      </c>
      <c r="P75">
        <f t="shared" si="33"/>
        <v>63</v>
      </c>
      <c r="Q75">
        <f t="shared" si="34"/>
        <v>31</v>
      </c>
      <c r="S75">
        <f t="shared" si="24"/>
        <v>0</v>
      </c>
      <c r="T75">
        <f t="shared" si="25"/>
        <v>2016</v>
      </c>
      <c r="U75">
        <f t="shared" si="26"/>
        <v>31</v>
      </c>
      <c r="V75">
        <f t="shared" si="27"/>
        <v>2047</v>
      </c>
      <c r="X75" t="str">
        <f t="shared" si="28"/>
        <v>#define CYAN NEW_COLOR(0,63,31)</v>
      </c>
    </row>
    <row r="76" spans="1:24" ht="15.6" hidden="1" thickBot="1">
      <c r="A76" s="85"/>
      <c r="B76" s="25" t="s">
        <v>333</v>
      </c>
      <c r="C76" s="25" t="s">
        <v>182</v>
      </c>
      <c r="D76" s="30">
        <v>-224255255</v>
      </c>
      <c r="E76" s="214"/>
      <c r="F76" s="345"/>
      <c r="G76" t="str">
        <f t="shared" si="15"/>
        <v>11100000</v>
      </c>
      <c r="H76" t="str">
        <f t="shared" si="16"/>
        <v>11111111</v>
      </c>
      <c r="I76" t="str">
        <f t="shared" si="17"/>
        <v>11111111</v>
      </c>
      <c r="K76" t="str">
        <f t="shared" si="29"/>
        <v>11100</v>
      </c>
      <c r="L76" t="str">
        <f t="shared" si="30"/>
        <v>111111</v>
      </c>
      <c r="M76" t="str">
        <f t="shared" si="31"/>
        <v>11111</v>
      </c>
      <c r="O76">
        <f t="shared" si="32"/>
        <v>28</v>
      </c>
      <c r="P76">
        <f t="shared" si="33"/>
        <v>63</v>
      </c>
      <c r="Q76">
        <f t="shared" si="34"/>
        <v>31</v>
      </c>
      <c r="S76">
        <f t="shared" si="24"/>
        <v>57344</v>
      </c>
      <c r="T76">
        <f t="shared" si="25"/>
        <v>2016</v>
      </c>
      <c r="U76">
        <f t="shared" si="26"/>
        <v>31</v>
      </c>
      <c r="V76">
        <f t="shared" si="27"/>
        <v>59391</v>
      </c>
      <c r="X76" t="str">
        <f t="shared" si="28"/>
        <v>#define LIGHT_CYAN NEW_COLOR(28,63,31)</v>
      </c>
    </row>
    <row r="77" spans="1:24" ht="15.6" hidden="1" thickBot="1">
      <c r="A77" s="86"/>
      <c r="B77" s="25" t="s">
        <v>334</v>
      </c>
      <c r="C77" s="25" t="s">
        <v>183</v>
      </c>
      <c r="D77" s="25" t="s">
        <v>184</v>
      </c>
      <c r="E77" s="215"/>
      <c r="F77" s="346"/>
      <c r="G77" t="str">
        <f t="shared" si="15"/>
        <v>00000000</v>
      </c>
      <c r="H77" t="str">
        <f t="shared" si="16"/>
        <v>11001110</v>
      </c>
      <c r="I77" t="str">
        <f t="shared" si="17"/>
        <v>11010001</v>
      </c>
      <c r="K77" t="str">
        <f t="shared" si="29"/>
        <v>00000</v>
      </c>
      <c r="L77" t="str">
        <f t="shared" si="30"/>
        <v>110011</v>
      </c>
      <c r="M77" t="str">
        <f t="shared" si="31"/>
        <v>11010</v>
      </c>
      <c r="O77">
        <f t="shared" si="32"/>
        <v>0</v>
      </c>
      <c r="P77">
        <f t="shared" si="33"/>
        <v>51</v>
      </c>
      <c r="Q77">
        <f t="shared" si="34"/>
        <v>26</v>
      </c>
      <c r="S77">
        <f t="shared" si="24"/>
        <v>0</v>
      </c>
      <c r="T77">
        <f t="shared" si="25"/>
        <v>1632</v>
      </c>
      <c r="U77">
        <f t="shared" si="26"/>
        <v>26</v>
      </c>
      <c r="V77">
        <f t="shared" si="27"/>
        <v>1658</v>
      </c>
      <c r="X77" t="str">
        <f t="shared" si="28"/>
        <v>#define DARK_TURQUOISE NEW_COLOR(0,51,26)</v>
      </c>
    </row>
    <row r="78" spans="1:24" ht="15.6" hidden="1" thickBot="1">
      <c r="A78" s="87"/>
      <c r="B78" s="25" t="s">
        <v>185</v>
      </c>
      <c r="C78" s="25" t="s">
        <v>186</v>
      </c>
      <c r="D78" s="30">
        <v>-64224208</v>
      </c>
      <c r="E78" s="216"/>
      <c r="F78" s="216"/>
      <c r="G78" t="str">
        <f t="shared" si="15"/>
        <v>01000000</v>
      </c>
      <c r="H78" t="str">
        <f t="shared" si="16"/>
        <v>11100000</v>
      </c>
      <c r="I78" t="str">
        <f t="shared" si="17"/>
        <v>11010000</v>
      </c>
      <c r="K78" t="str">
        <f t="shared" si="29"/>
        <v>01000</v>
      </c>
      <c r="L78" t="str">
        <f t="shared" si="30"/>
        <v>111000</v>
      </c>
      <c r="M78" t="str">
        <f t="shared" si="31"/>
        <v>11010</v>
      </c>
      <c r="O78">
        <f t="shared" si="32"/>
        <v>8</v>
      </c>
      <c r="P78">
        <f t="shared" si="33"/>
        <v>56</v>
      </c>
      <c r="Q78">
        <f t="shared" si="34"/>
        <v>26</v>
      </c>
      <c r="S78">
        <f t="shared" si="24"/>
        <v>16384</v>
      </c>
      <c r="T78">
        <f t="shared" si="25"/>
        <v>1792</v>
      </c>
      <c r="U78">
        <f t="shared" si="26"/>
        <v>26</v>
      </c>
      <c r="V78">
        <f t="shared" si="27"/>
        <v>18202</v>
      </c>
      <c r="X78" t="str">
        <f t="shared" si="28"/>
        <v>#define TURQUOISE NEW_COLOR(8,56,26)</v>
      </c>
    </row>
    <row r="79" spans="1:24" ht="15.6" hidden="1" thickBot="1">
      <c r="A79" s="88"/>
      <c r="B79" s="25" t="s">
        <v>335</v>
      </c>
      <c r="C79" s="25" t="s">
        <v>187</v>
      </c>
      <c r="D79" s="30">
        <v>-72209204</v>
      </c>
      <c r="E79" s="217"/>
      <c r="F79" s="347"/>
      <c r="G79" t="str">
        <f t="shared" si="15"/>
        <v>01001000</v>
      </c>
      <c r="H79" t="str">
        <f t="shared" si="16"/>
        <v>11010001</v>
      </c>
      <c r="I79" t="str">
        <f t="shared" si="17"/>
        <v>11001100</v>
      </c>
      <c r="K79" t="str">
        <f t="shared" si="29"/>
        <v>01001</v>
      </c>
      <c r="L79" t="str">
        <f t="shared" si="30"/>
        <v>110100</v>
      </c>
      <c r="M79" t="str">
        <f t="shared" si="31"/>
        <v>11001</v>
      </c>
      <c r="O79">
        <f t="shared" si="32"/>
        <v>9</v>
      </c>
      <c r="P79">
        <f t="shared" si="33"/>
        <v>52</v>
      </c>
      <c r="Q79">
        <f t="shared" si="34"/>
        <v>25</v>
      </c>
      <c r="S79">
        <f t="shared" si="24"/>
        <v>18432</v>
      </c>
      <c r="T79">
        <f t="shared" si="25"/>
        <v>1664</v>
      </c>
      <c r="U79">
        <f t="shared" si="26"/>
        <v>25</v>
      </c>
      <c r="V79">
        <f t="shared" si="27"/>
        <v>20121</v>
      </c>
      <c r="X79" t="str">
        <f t="shared" si="28"/>
        <v>#define MEDIUM_TURQUOISE NEW_COLOR(9,52,25)</v>
      </c>
    </row>
    <row r="80" spans="1:24" ht="15.6" hidden="1" thickBot="1">
      <c r="A80" s="89"/>
      <c r="B80" s="25" t="s">
        <v>336</v>
      </c>
      <c r="C80" s="25" t="s">
        <v>188</v>
      </c>
      <c r="D80" s="30">
        <v>-175238238</v>
      </c>
      <c r="E80" s="218"/>
      <c r="F80" s="348"/>
      <c r="G80" t="str">
        <f t="shared" si="15"/>
        <v>10101111</v>
      </c>
      <c r="H80" t="str">
        <f t="shared" si="16"/>
        <v>11101110</v>
      </c>
      <c r="I80" t="str">
        <f t="shared" si="17"/>
        <v>11101110</v>
      </c>
      <c r="K80" t="str">
        <f t="shared" si="29"/>
        <v>10101</v>
      </c>
      <c r="L80" t="str">
        <f t="shared" si="30"/>
        <v>111011</v>
      </c>
      <c r="M80" t="str">
        <f t="shared" si="31"/>
        <v>11101</v>
      </c>
      <c r="O80">
        <f t="shared" si="32"/>
        <v>21</v>
      </c>
      <c r="P80">
        <f t="shared" si="33"/>
        <v>59</v>
      </c>
      <c r="Q80">
        <f t="shared" si="34"/>
        <v>29</v>
      </c>
      <c r="S80">
        <f t="shared" si="24"/>
        <v>43008</v>
      </c>
      <c r="T80">
        <f t="shared" si="25"/>
        <v>1888</v>
      </c>
      <c r="U80">
        <f t="shared" si="26"/>
        <v>29</v>
      </c>
      <c r="V80">
        <f t="shared" si="27"/>
        <v>44925</v>
      </c>
      <c r="X80" t="str">
        <f t="shared" si="28"/>
        <v>#define PALE_TURQUOISE NEW_COLOR(21,59,29)</v>
      </c>
    </row>
    <row r="81" spans="1:24" ht="15.6" hidden="1" thickBot="1">
      <c r="A81" s="90"/>
      <c r="B81" s="25" t="s">
        <v>337</v>
      </c>
      <c r="C81" s="25" t="s">
        <v>189</v>
      </c>
      <c r="D81" s="30">
        <v>-127255212</v>
      </c>
      <c r="E81" s="219"/>
      <c r="F81" s="349"/>
      <c r="G81" t="str">
        <f t="shared" si="15"/>
        <v>01111111</v>
      </c>
      <c r="H81" t="str">
        <f t="shared" si="16"/>
        <v>11111111</v>
      </c>
      <c r="I81" t="str">
        <f t="shared" si="17"/>
        <v>11010100</v>
      </c>
      <c r="K81" t="str">
        <f t="shared" si="29"/>
        <v>01111</v>
      </c>
      <c r="L81" t="str">
        <f t="shared" si="30"/>
        <v>111111</v>
      </c>
      <c r="M81" t="str">
        <f t="shared" si="31"/>
        <v>11010</v>
      </c>
      <c r="O81">
        <f t="shared" si="32"/>
        <v>15</v>
      </c>
      <c r="P81">
        <f t="shared" si="33"/>
        <v>63</v>
      </c>
      <c r="Q81">
        <f t="shared" si="34"/>
        <v>26</v>
      </c>
      <c r="S81">
        <f t="shared" si="24"/>
        <v>30720</v>
      </c>
      <c r="T81">
        <f t="shared" si="25"/>
        <v>2016</v>
      </c>
      <c r="U81">
        <f t="shared" si="26"/>
        <v>26</v>
      </c>
      <c r="V81">
        <f t="shared" si="27"/>
        <v>32762</v>
      </c>
      <c r="X81" t="str">
        <f t="shared" si="28"/>
        <v>#define AQUA_MARINE NEW_COLOR(15,63,26)</v>
      </c>
    </row>
    <row r="82" spans="1:24" ht="15.6" hidden="1" thickBot="1">
      <c r="A82" s="91"/>
      <c r="B82" s="25" t="s">
        <v>338</v>
      </c>
      <c r="C82" s="25" t="s">
        <v>190</v>
      </c>
      <c r="D82" s="30">
        <v>-176224230</v>
      </c>
      <c r="E82" s="220"/>
      <c r="F82" s="350"/>
      <c r="G82" t="str">
        <f t="shared" si="15"/>
        <v>10110000</v>
      </c>
      <c r="H82" t="str">
        <f t="shared" si="16"/>
        <v>11100000</v>
      </c>
      <c r="I82" t="str">
        <f t="shared" si="17"/>
        <v>11100110</v>
      </c>
      <c r="K82" t="str">
        <f t="shared" si="29"/>
        <v>10110</v>
      </c>
      <c r="L82" t="str">
        <f t="shared" si="30"/>
        <v>111000</v>
      </c>
      <c r="M82" t="str">
        <f t="shared" si="31"/>
        <v>11100</v>
      </c>
      <c r="O82">
        <f t="shared" si="32"/>
        <v>22</v>
      </c>
      <c r="P82">
        <f t="shared" si="33"/>
        <v>56</v>
      </c>
      <c r="Q82">
        <f t="shared" si="34"/>
        <v>28</v>
      </c>
      <c r="S82">
        <f t="shared" si="24"/>
        <v>45056</v>
      </c>
      <c r="T82">
        <f t="shared" si="25"/>
        <v>1792</v>
      </c>
      <c r="U82">
        <f t="shared" si="26"/>
        <v>28</v>
      </c>
      <c r="V82">
        <f t="shared" si="27"/>
        <v>46876</v>
      </c>
      <c r="X82" t="str">
        <f t="shared" si="28"/>
        <v>#define POWDER_BLUE NEW_COLOR(22,56,28)</v>
      </c>
    </row>
    <row r="83" spans="1:24" ht="15.6" hidden="1" thickBot="1">
      <c r="A83" s="92"/>
      <c r="B83" s="25" t="s">
        <v>339</v>
      </c>
      <c r="C83" s="25" t="s">
        <v>191</v>
      </c>
      <c r="D83" s="30">
        <v>-95158160</v>
      </c>
      <c r="E83" s="221"/>
      <c r="F83" s="351"/>
      <c r="G83" t="str">
        <f t="shared" si="15"/>
        <v>01011111</v>
      </c>
      <c r="H83" t="str">
        <f t="shared" si="16"/>
        <v>10011110</v>
      </c>
      <c r="I83" t="str">
        <f t="shared" si="17"/>
        <v>10100000</v>
      </c>
      <c r="K83" t="str">
        <f t="shared" si="29"/>
        <v>01011</v>
      </c>
      <c r="L83" t="str">
        <f t="shared" si="30"/>
        <v>100111</v>
      </c>
      <c r="M83" t="str">
        <f t="shared" si="31"/>
        <v>10100</v>
      </c>
      <c r="O83">
        <f t="shared" si="32"/>
        <v>11</v>
      </c>
      <c r="P83">
        <f t="shared" si="33"/>
        <v>39</v>
      </c>
      <c r="Q83">
        <f t="shared" si="34"/>
        <v>20</v>
      </c>
      <c r="S83">
        <f t="shared" si="24"/>
        <v>22528</v>
      </c>
      <c r="T83">
        <f t="shared" si="25"/>
        <v>1248</v>
      </c>
      <c r="U83">
        <f t="shared" si="26"/>
        <v>20</v>
      </c>
      <c r="V83">
        <f t="shared" si="27"/>
        <v>23796</v>
      </c>
      <c r="X83" t="str">
        <f t="shared" si="28"/>
        <v>#define CADET_BLUE NEW_COLOR(11,39,20)</v>
      </c>
    </row>
    <row r="84" spans="1:24" ht="15.6" hidden="1" thickBot="1">
      <c r="A84" s="93"/>
      <c r="B84" s="25" t="s">
        <v>340</v>
      </c>
      <c r="C84" s="25" t="s">
        <v>192</v>
      </c>
      <c r="D84" s="30">
        <v>-70130180</v>
      </c>
      <c r="E84" s="222"/>
      <c r="F84" s="352"/>
      <c r="G84" t="str">
        <f t="shared" si="15"/>
        <v>01000110</v>
      </c>
      <c r="H84" t="str">
        <f t="shared" si="16"/>
        <v>10000010</v>
      </c>
      <c r="I84" t="str">
        <f t="shared" si="17"/>
        <v>10110100</v>
      </c>
      <c r="K84" t="str">
        <f t="shared" si="29"/>
        <v>01000</v>
      </c>
      <c r="L84" t="str">
        <f t="shared" si="30"/>
        <v>100000</v>
      </c>
      <c r="M84" t="str">
        <f t="shared" si="31"/>
        <v>10110</v>
      </c>
      <c r="O84">
        <f t="shared" si="32"/>
        <v>8</v>
      </c>
      <c r="P84">
        <f t="shared" si="33"/>
        <v>32</v>
      </c>
      <c r="Q84">
        <f t="shared" si="34"/>
        <v>22</v>
      </c>
      <c r="S84">
        <f t="shared" si="24"/>
        <v>16384</v>
      </c>
      <c r="T84">
        <f t="shared" si="25"/>
        <v>1024</v>
      </c>
      <c r="U84">
        <f t="shared" si="26"/>
        <v>22</v>
      </c>
      <c r="V84">
        <f t="shared" si="27"/>
        <v>17430</v>
      </c>
      <c r="X84" t="str">
        <f t="shared" si="28"/>
        <v>#define STEEL_BLUE NEW_COLOR(8,32,22)</v>
      </c>
    </row>
    <row r="85" spans="1:24" ht="15.6" hidden="1" thickBot="1">
      <c r="A85" s="94"/>
      <c r="B85" s="25" t="s">
        <v>341</v>
      </c>
      <c r="C85" s="25" t="s">
        <v>193</v>
      </c>
      <c r="D85" s="30">
        <v>-100149237</v>
      </c>
      <c r="E85" s="223"/>
      <c r="F85" s="353"/>
      <c r="G85" t="str">
        <f t="shared" si="15"/>
        <v>01100100</v>
      </c>
      <c r="H85" t="str">
        <f t="shared" si="16"/>
        <v>10010101</v>
      </c>
      <c r="I85" t="str">
        <f t="shared" si="17"/>
        <v>11101101</v>
      </c>
      <c r="K85" t="str">
        <f t="shared" si="29"/>
        <v>01100</v>
      </c>
      <c r="L85" t="str">
        <f t="shared" si="30"/>
        <v>100101</v>
      </c>
      <c r="M85" t="str">
        <f t="shared" si="31"/>
        <v>11101</v>
      </c>
      <c r="O85">
        <f t="shared" si="32"/>
        <v>12</v>
      </c>
      <c r="P85">
        <f t="shared" si="33"/>
        <v>37</v>
      </c>
      <c r="Q85">
        <f t="shared" si="34"/>
        <v>29</v>
      </c>
      <c r="S85">
        <f t="shared" si="24"/>
        <v>24576</v>
      </c>
      <c r="T85">
        <f t="shared" si="25"/>
        <v>1184</v>
      </c>
      <c r="U85">
        <f t="shared" si="26"/>
        <v>29</v>
      </c>
      <c r="V85">
        <f t="shared" si="27"/>
        <v>25789</v>
      </c>
      <c r="X85" t="str">
        <f t="shared" si="28"/>
        <v>#define CORN_FLOWER_BLUE NEW_COLOR(12,37,29)</v>
      </c>
    </row>
    <row r="86" spans="1:24" ht="15.6" hidden="1" thickBot="1">
      <c r="A86" s="95"/>
      <c r="B86" s="25" t="s">
        <v>342</v>
      </c>
      <c r="C86" s="25" t="s">
        <v>194</v>
      </c>
      <c r="D86" s="25" t="s">
        <v>195</v>
      </c>
      <c r="E86" s="224"/>
      <c r="F86" s="354"/>
      <c r="G86" t="str">
        <f t="shared" si="15"/>
        <v>00000000</v>
      </c>
      <c r="H86" t="str">
        <f t="shared" si="16"/>
        <v>10111111</v>
      </c>
      <c r="I86" t="str">
        <f t="shared" si="17"/>
        <v>11111111</v>
      </c>
      <c r="K86" t="str">
        <f t="shared" si="29"/>
        <v>00000</v>
      </c>
      <c r="L86" t="str">
        <f t="shared" si="30"/>
        <v>101111</v>
      </c>
      <c r="M86" t="str">
        <f t="shared" si="31"/>
        <v>11111</v>
      </c>
      <c r="O86">
        <f t="shared" si="32"/>
        <v>0</v>
      </c>
      <c r="P86">
        <f t="shared" si="33"/>
        <v>47</v>
      </c>
      <c r="Q86">
        <f t="shared" si="34"/>
        <v>31</v>
      </c>
      <c r="S86">
        <f t="shared" si="24"/>
        <v>0</v>
      </c>
      <c r="T86">
        <f t="shared" si="25"/>
        <v>1504</v>
      </c>
      <c r="U86">
        <f t="shared" si="26"/>
        <v>31</v>
      </c>
      <c r="V86">
        <f t="shared" si="27"/>
        <v>1535</v>
      </c>
      <c r="X86" t="str">
        <f t="shared" si="28"/>
        <v>#define DEEP_SKY_BLUE NEW_COLOR(0,47,31)</v>
      </c>
    </row>
    <row r="87" spans="1:24" ht="15.6" hidden="1" thickBot="1">
      <c r="A87" s="96"/>
      <c r="B87" s="25" t="s">
        <v>343</v>
      </c>
      <c r="C87" s="25" t="s">
        <v>196</v>
      </c>
      <c r="D87" s="30">
        <v>-30144255</v>
      </c>
      <c r="E87" s="225"/>
      <c r="F87" s="355"/>
      <c r="G87" t="str">
        <f t="shared" si="15"/>
        <v>00011110</v>
      </c>
      <c r="H87" t="str">
        <f t="shared" si="16"/>
        <v>10010000</v>
      </c>
      <c r="I87" t="str">
        <f t="shared" si="17"/>
        <v>11111111</v>
      </c>
      <c r="K87" t="str">
        <f t="shared" si="29"/>
        <v>00011</v>
      </c>
      <c r="L87" t="str">
        <f t="shared" si="30"/>
        <v>100100</v>
      </c>
      <c r="M87" t="str">
        <f t="shared" si="31"/>
        <v>11111</v>
      </c>
      <c r="O87">
        <f t="shared" si="32"/>
        <v>3</v>
      </c>
      <c r="P87">
        <f t="shared" si="33"/>
        <v>36</v>
      </c>
      <c r="Q87">
        <f t="shared" si="34"/>
        <v>31</v>
      </c>
      <c r="S87">
        <f t="shared" si="24"/>
        <v>6144</v>
      </c>
      <c r="T87">
        <f t="shared" si="25"/>
        <v>1152</v>
      </c>
      <c r="U87">
        <f t="shared" si="26"/>
        <v>31</v>
      </c>
      <c r="V87">
        <f t="shared" si="27"/>
        <v>7327</v>
      </c>
      <c r="X87" t="str">
        <f t="shared" si="28"/>
        <v>#define DODGER_BLUE NEW_COLOR(3,36,31)</v>
      </c>
    </row>
    <row r="88" spans="1:24" ht="15.6" hidden="1" thickBot="1">
      <c r="A88" s="97"/>
      <c r="B88" s="25" t="s">
        <v>49</v>
      </c>
      <c r="C88" s="25" t="s">
        <v>197</v>
      </c>
      <c r="D88" s="30">
        <v>-173216230</v>
      </c>
      <c r="E88" s="226"/>
      <c r="F88" s="356"/>
      <c r="G88" t="str">
        <f t="shared" si="15"/>
        <v>10101101</v>
      </c>
      <c r="H88" t="str">
        <f t="shared" si="16"/>
        <v>11011000</v>
      </c>
      <c r="I88" t="str">
        <f t="shared" si="17"/>
        <v>11100110</v>
      </c>
      <c r="K88" t="str">
        <f t="shared" si="29"/>
        <v>10101</v>
      </c>
      <c r="L88" t="str">
        <f t="shared" si="30"/>
        <v>110110</v>
      </c>
      <c r="M88" t="str">
        <f t="shared" si="31"/>
        <v>11100</v>
      </c>
      <c r="O88">
        <f t="shared" si="32"/>
        <v>21</v>
      </c>
      <c r="P88">
        <f t="shared" si="33"/>
        <v>54</v>
      </c>
      <c r="Q88">
        <f t="shared" si="34"/>
        <v>28</v>
      </c>
      <c r="S88">
        <f t="shared" si="24"/>
        <v>43008</v>
      </c>
      <c r="T88">
        <f t="shared" si="25"/>
        <v>1728</v>
      </c>
      <c r="U88">
        <f t="shared" si="26"/>
        <v>28</v>
      </c>
      <c r="V88">
        <f t="shared" si="27"/>
        <v>44764</v>
      </c>
      <c r="X88" t="str">
        <f t="shared" si="28"/>
        <v>#define LIGHT_BLUE NEW_COLOR(21,54,28)</v>
      </c>
    </row>
    <row r="89" spans="1:24" ht="15.6" hidden="1" thickBot="1">
      <c r="A89" s="98"/>
      <c r="B89" s="25" t="s">
        <v>344</v>
      </c>
      <c r="C89" s="25" t="s">
        <v>198</v>
      </c>
      <c r="D89" s="30">
        <v>-135206235</v>
      </c>
      <c r="E89" s="227"/>
      <c r="F89" s="357"/>
      <c r="G89" t="str">
        <f t="shared" si="15"/>
        <v>10000111</v>
      </c>
      <c r="H89" t="str">
        <f t="shared" si="16"/>
        <v>11001110</v>
      </c>
      <c r="I89" t="str">
        <f t="shared" si="17"/>
        <v>11101011</v>
      </c>
      <c r="K89" t="str">
        <f t="shared" si="29"/>
        <v>10000</v>
      </c>
      <c r="L89" t="str">
        <f t="shared" si="30"/>
        <v>110011</v>
      </c>
      <c r="M89" t="str">
        <f t="shared" si="31"/>
        <v>11101</v>
      </c>
      <c r="O89">
        <f t="shared" si="32"/>
        <v>16</v>
      </c>
      <c r="P89">
        <f t="shared" si="33"/>
        <v>51</v>
      </c>
      <c r="Q89">
        <f t="shared" si="34"/>
        <v>29</v>
      </c>
      <c r="S89">
        <f t="shared" si="24"/>
        <v>32768</v>
      </c>
      <c r="T89">
        <f t="shared" si="25"/>
        <v>1632</v>
      </c>
      <c r="U89">
        <f t="shared" si="26"/>
        <v>29</v>
      </c>
      <c r="V89">
        <f t="shared" si="27"/>
        <v>34429</v>
      </c>
      <c r="X89" t="str">
        <f t="shared" si="28"/>
        <v>#define SKY_BLUE NEW_COLOR(16,51,29)</v>
      </c>
    </row>
    <row r="90" spans="1:24" ht="15.6" hidden="1" thickBot="1">
      <c r="A90" s="99"/>
      <c r="B90" s="25" t="s">
        <v>345</v>
      </c>
      <c r="C90" s="25" t="s">
        <v>199</v>
      </c>
      <c r="D90" s="30">
        <v>-135206250</v>
      </c>
      <c r="E90" s="228"/>
      <c r="F90" s="358"/>
      <c r="G90" t="str">
        <f t="shared" si="15"/>
        <v>10000111</v>
      </c>
      <c r="H90" t="str">
        <f t="shared" si="16"/>
        <v>11001110</v>
      </c>
      <c r="I90" t="str">
        <f t="shared" si="17"/>
        <v>11111010</v>
      </c>
      <c r="K90" t="str">
        <f t="shared" si="29"/>
        <v>10000</v>
      </c>
      <c r="L90" t="str">
        <f t="shared" si="30"/>
        <v>110011</v>
      </c>
      <c r="M90" t="str">
        <f t="shared" si="31"/>
        <v>11111</v>
      </c>
      <c r="O90">
        <f t="shared" si="32"/>
        <v>16</v>
      </c>
      <c r="P90">
        <f t="shared" si="33"/>
        <v>51</v>
      </c>
      <c r="Q90">
        <f t="shared" si="34"/>
        <v>31</v>
      </c>
      <c r="S90">
        <f t="shared" si="24"/>
        <v>32768</v>
      </c>
      <c r="T90">
        <f t="shared" si="25"/>
        <v>1632</v>
      </c>
      <c r="U90">
        <f t="shared" si="26"/>
        <v>31</v>
      </c>
      <c r="V90">
        <f t="shared" si="27"/>
        <v>34431</v>
      </c>
      <c r="X90" t="str">
        <f t="shared" si="28"/>
        <v>#define LIGHT_SKY_BLUE NEW_COLOR(16,51,31)</v>
      </c>
    </row>
    <row r="91" spans="1:24" ht="15.6" thickBot="1">
      <c r="A91" s="100"/>
      <c r="B91" s="25" t="s">
        <v>346</v>
      </c>
      <c r="C91" s="25" t="s">
        <v>200</v>
      </c>
      <c r="D91" s="25" t="s">
        <v>201</v>
      </c>
      <c r="E91" s="229"/>
      <c r="F91" s="359"/>
      <c r="G91" t="str">
        <f t="shared" ref="G91:G156" si="35">HEX2BIN(MID($C91,2,2),8)</f>
        <v>00011001</v>
      </c>
      <c r="H91" t="str">
        <f t="shared" ref="H91:H156" si="36">HEX2BIN(MID($C91,4,2),8)</f>
        <v>00011001</v>
      </c>
      <c r="I91" t="str">
        <f t="shared" ref="I91:I156" si="37">HEX2BIN(MID($C91,6,2),8)</f>
        <v>01110000</v>
      </c>
      <c r="K91" t="str">
        <f t="shared" si="29"/>
        <v>00011</v>
      </c>
      <c r="L91" t="str">
        <f t="shared" si="30"/>
        <v>000110</v>
      </c>
      <c r="M91" t="str">
        <f t="shared" si="31"/>
        <v>01110</v>
      </c>
      <c r="O91">
        <f t="shared" si="32"/>
        <v>3</v>
      </c>
      <c r="P91">
        <f t="shared" si="33"/>
        <v>6</v>
      </c>
      <c r="Q91">
        <f t="shared" si="34"/>
        <v>14</v>
      </c>
      <c r="S91">
        <f t="shared" ref="S91:S156" si="38">O91*2048</f>
        <v>6144</v>
      </c>
      <c r="T91">
        <f t="shared" ref="T91:T156" si="39">P91*32</f>
        <v>192</v>
      </c>
      <c r="U91">
        <f t="shared" ref="U91:U156" si="40">Q91</f>
        <v>14</v>
      </c>
      <c r="V91">
        <f t="shared" ref="V91:V156" si="41">S91+T91+U91</f>
        <v>6350</v>
      </c>
      <c r="X91" t="str">
        <f t="shared" si="28"/>
        <v>#define MIDNIGHT_BLUE NEW_COLOR(3,6,14)</v>
      </c>
    </row>
    <row r="92" spans="1:24" ht="15.6" thickBot="1">
      <c r="A92" s="44"/>
      <c r="B92" s="25" t="s">
        <v>202</v>
      </c>
      <c r="C92" s="25" t="s">
        <v>97</v>
      </c>
      <c r="D92" s="25" t="s">
        <v>98</v>
      </c>
      <c r="E92" s="230"/>
      <c r="F92" s="230"/>
      <c r="G92" t="str">
        <f t="shared" si="35"/>
        <v>00000000</v>
      </c>
      <c r="H92" t="str">
        <f t="shared" si="36"/>
        <v>00000000</v>
      </c>
      <c r="I92" t="str">
        <f t="shared" si="37"/>
        <v>10000000</v>
      </c>
      <c r="K92" t="str">
        <f t="shared" si="29"/>
        <v>00000</v>
      </c>
      <c r="L92" t="str">
        <f t="shared" si="30"/>
        <v>000000</v>
      </c>
      <c r="M92" t="str">
        <f t="shared" si="31"/>
        <v>10000</v>
      </c>
      <c r="O92">
        <f t="shared" si="32"/>
        <v>0</v>
      </c>
      <c r="P92">
        <f t="shared" si="33"/>
        <v>0</v>
      </c>
      <c r="Q92">
        <f t="shared" si="34"/>
        <v>16</v>
      </c>
      <c r="S92">
        <f t="shared" si="38"/>
        <v>0</v>
      </c>
      <c r="T92">
        <f t="shared" si="39"/>
        <v>0</v>
      </c>
      <c r="U92">
        <f t="shared" si="40"/>
        <v>16</v>
      </c>
      <c r="V92">
        <f t="shared" si="41"/>
        <v>16</v>
      </c>
      <c r="X92" t="str">
        <f t="shared" ref="X92:X155" si="42">"#define " &amp;UPPER(B92)&amp;" NEW_COLOR("&amp;O92&amp;","&amp;P92&amp;","&amp;Q92&amp;")"</f>
        <v>#define NAVY NEW_COLOR(0,0,16)</v>
      </c>
    </row>
    <row r="93" spans="1:24" ht="15.6" thickBot="1">
      <c r="A93" s="101"/>
      <c r="B93" s="25" t="s">
        <v>42</v>
      </c>
      <c r="C93" s="25" t="s">
        <v>203</v>
      </c>
      <c r="D93" s="25" t="s">
        <v>204</v>
      </c>
      <c r="E93" s="231"/>
      <c r="F93" s="360"/>
      <c r="G93" t="str">
        <f t="shared" si="35"/>
        <v>00000000</v>
      </c>
      <c r="H93" t="str">
        <f t="shared" si="36"/>
        <v>00000000</v>
      </c>
      <c r="I93" t="str">
        <f t="shared" si="37"/>
        <v>10001011</v>
      </c>
      <c r="K93" t="str">
        <f t="shared" si="29"/>
        <v>00000</v>
      </c>
      <c r="L93" t="str">
        <f t="shared" si="30"/>
        <v>000000</v>
      </c>
      <c r="M93" t="str">
        <f t="shared" si="31"/>
        <v>10001</v>
      </c>
      <c r="O93">
        <f t="shared" si="32"/>
        <v>0</v>
      </c>
      <c r="P93">
        <f t="shared" si="33"/>
        <v>0</v>
      </c>
      <c r="Q93">
        <f t="shared" si="34"/>
        <v>17</v>
      </c>
      <c r="S93">
        <f t="shared" si="38"/>
        <v>0</v>
      </c>
      <c r="T93">
        <f t="shared" si="39"/>
        <v>0</v>
      </c>
      <c r="U93">
        <f t="shared" si="40"/>
        <v>17</v>
      </c>
      <c r="V93">
        <f t="shared" si="41"/>
        <v>17</v>
      </c>
      <c r="X93" t="str">
        <f t="shared" si="42"/>
        <v>#define DARK_BLUE NEW_COLOR(0,0,17)</v>
      </c>
    </row>
    <row r="94" spans="1:24" ht="15.6" thickBot="1">
      <c r="A94" s="102"/>
      <c r="B94" s="25" t="s">
        <v>347</v>
      </c>
      <c r="C94" s="25" t="s">
        <v>205</v>
      </c>
      <c r="D94" s="25" t="s">
        <v>206</v>
      </c>
      <c r="E94" s="232"/>
      <c r="F94" s="361"/>
      <c r="G94" t="str">
        <f t="shared" si="35"/>
        <v>00000000</v>
      </c>
      <c r="H94" t="str">
        <f t="shared" si="36"/>
        <v>00000000</v>
      </c>
      <c r="I94" t="str">
        <f t="shared" si="37"/>
        <v>11001101</v>
      </c>
      <c r="K94" t="str">
        <f t="shared" si="29"/>
        <v>00000</v>
      </c>
      <c r="L94" t="str">
        <f t="shared" si="30"/>
        <v>000000</v>
      </c>
      <c r="M94" t="str">
        <f t="shared" si="31"/>
        <v>11001</v>
      </c>
      <c r="O94">
        <f t="shared" si="32"/>
        <v>0</v>
      </c>
      <c r="P94">
        <f t="shared" si="33"/>
        <v>0</v>
      </c>
      <c r="Q94">
        <f t="shared" si="34"/>
        <v>25</v>
      </c>
      <c r="S94">
        <f t="shared" si="38"/>
        <v>0</v>
      </c>
      <c r="T94">
        <f t="shared" si="39"/>
        <v>0</v>
      </c>
      <c r="U94">
        <f t="shared" si="40"/>
        <v>25</v>
      </c>
      <c r="V94">
        <f t="shared" si="41"/>
        <v>25</v>
      </c>
      <c r="X94" t="str">
        <f t="shared" si="42"/>
        <v>#define MEDIUM_BLUE NEW_COLOR(0,0,25)</v>
      </c>
    </row>
    <row r="95" spans="1:24" ht="15.6" thickBot="1">
      <c r="A95" s="33"/>
      <c r="B95" s="25" t="s">
        <v>40</v>
      </c>
      <c r="C95" s="25" t="s">
        <v>77</v>
      </c>
      <c r="D95" s="25" t="s">
        <v>78</v>
      </c>
      <c r="E95" s="233"/>
      <c r="F95" s="362"/>
      <c r="G95" t="str">
        <f t="shared" si="35"/>
        <v>00000000</v>
      </c>
      <c r="H95" t="str">
        <f t="shared" si="36"/>
        <v>00000000</v>
      </c>
      <c r="I95" t="str">
        <f t="shared" si="37"/>
        <v>11111111</v>
      </c>
      <c r="K95" t="str">
        <f t="shared" si="29"/>
        <v>00000</v>
      </c>
      <c r="L95" t="str">
        <f t="shared" si="30"/>
        <v>000000</v>
      </c>
      <c r="M95" t="str">
        <f t="shared" si="31"/>
        <v>11111</v>
      </c>
      <c r="O95">
        <f t="shared" si="32"/>
        <v>0</v>
      </c>
      <c r="P95">
        <f t="shared" si="33"/>
        <v>0</v>
      </c>
      <c r="Q95">
        <f t="shared" si="34"/>
        <v>31</v>
      </c>
      <c r="S95">
        <f t="shared" si="38"/>
        <v>0</v>
      </c>
      <c r="T95">
        <f t="shared" si="39"/>
        <v>0</v>
      </c>
      <c r="U95">
        <f t="shared" si="40"/>
        <v>31</v>
      </c>
      <c r="V95">
        <f t="shared" si="41"/>
        <v>31</v>
      </c>
      <c r="X95" t="str">
        <f t="shared" si="42"/>
        <v>#define BLUE NEW_COLOR(0,0,31)</v>
      </c>
    </row>
    <row r="96" spans="1:24" ht="15.6" hidden="1" thickBot="1">
      <c r="A96" s="103"/>
      <c r="B96" s="25" t="s">
        <v>348</v>
      </c>
      <c r="C96" s="25" t="s">
        <v>207</v>
      </c>
      <c r="D96" s="30">
        <v>-65105225</v>
      </c>
      <c r="E96" s="234"/>
      <c r="F96" s="363"/>
      <c r="G96" t="str">
        <f t="shared" si="35"/>
        <v>01000001</v>
      </c>
      <c r="H96" t="str">
        <f t="shared" si="36"/>
        <v>01101001</v>
      </c>
      <c r="I96" t="str">
        <f t="shared" si="37"/>
        <v>11100001</v>
      </c>
      <c r="K96" t="str">
        <f t="shared" si="29"/>
        <v>01000</v>
      </c>
      <c r="L96" t="str">
        <f t="shared" si="30"/>
        <v>011010</v>
      </c>
      <c r="M96" t="str">
        <f t="shared" si="31"/>
        <v>11100</v>
      </c>
      <c r="O96">
        <f t="shared" si="32"/>
        <v>8</v>
      </c>
      <c r="P96">
        <f t="shared" si="33"/>
        <v>26</v>
      </c>
      <c r="Q96">
        <f t="shared" si="34"/>
        <v>28</v>
      </c>
      <c r="S96">
        <f t="shared" si="38"/>
        <v>16384</v>
      </c>
      <c r="T96">
        <f t="shared" si="39"/>
        <v>832</v>
      </c>
      <c r="U96">
        <f t="shared" si="40"/>
        <v>28</v>
      </c>
      <c r="V96">
        <f t="shared" si="41"/>
        <v>17244</v>
      </c>
      <c r="X96" t="str">
        <f t="shared" si="42"/>
        <v>#define ROYAL_BLUE NEW_COLOR(8,26,28)</v>
      </c>
    </row>
    <row r="97" spans="1:24" ht="15.6" hidden="1" thickBot="1">
      <c r="A97" s="104"/>
      <c r="B97" s="25" t="s">
        <v>349</v>
      </c>
      <c r="C97" s="25" t="s">
        <v>208</v>
      </c>
      <c r="D97" s="25" t="s">
        <v>209</v>
      </c>
      <c r="E97" s="235"/>
      <c r="F97" s="364"/>
      <c r="G97" t="str">
        <f t="shared" si="35"/>
        <v>10001010</v>
      </c>
      <c r="H97" t="str">
        <f t="shared" si="36"/>
        <v>00101011</v>
      </c>
      <c r="I97" t="str">
        <f t="shared" si="37"/>
        <v>11100010</v>
      </c>
      <c r="K97" t="str">
        <f t="shared" si="29"/>
        <v>10001</v>
      </c>
      <c r="L97" t="str">
        <f t="shared" si="30"/>
        <v>001010</v>
      </c>
      <c r="M97" t="str">
        <f t="shared" si="31"/>
        <v>11100</v>
      </c>
      <c r="O97">
        <f t="shared" si="32"/>
        <v>17</v>
      </c>
      <c r="P97">
        <f t="shared" si="33"/>
        <v>10</v>
      </c>
      <c r="Q97">
        <f t="shared" si="34"/>
        <v>28</v>
      </c>
      <c r="S97">
        <f t="shared" si="38"/>
        <v>34816</v>
      </c>
      <c r="T97">
        <f t="shared" si="39"/>
        <v>320</v>
      </c>
      <c r="U97">
        <f t="shared" si="40"/>
        <v>28</v>
      </c>
      <c r="V97">
        <f t="shared" si="41"/>
        <v>35164</v>
      </c>
      <c r="X97" t="str">
        <f t="shared" si="42"/>
        <v>#define BLUE_VIOLET NEW_COLOR(17,10,28)</v>
      </c>
    </row>
    <row r="98" spans="1:24" ht="15.6" hidden="1" thickBot="1">
      <c r="A98" s="105"/>
      <c r="B98" s="25" t="s">
        <v>48</v>
      </c>
      <c r="C98" s="25" t="s">
        <v>210</v>
      </c>
      <c r="D98" s="25" t="s">
        <v>211</v>
      </c>
      <c r="E98" s="236"/>
      <c r="F98" s="365"/>
      <c r="G98" t="str">
        <f t="shared" si="35"/>
        <v>01001011</v>
      </c>
      <c r="H98" t="str">
        <f t="shared" si="36"/>
        <v>00000000</v>
      </c>
      <c r="I98" t="str">
        <f t="shared" si="37"/>
        <v>10000010</v>
      </c>
      <c r="K98" t="str">
        <f t="shared" si="29"/>
        <v>01001</v>
      </c>
      <c r="L98" t="str">
        <f t="shared" si="30"/>
        <v>000000</v>
      </c>
      <c r="M98" t="str">
        <f t="shared" si="31"/>
        <v>10000</v>
      </c>
      <c r="O98">
        <f t="shared" si="32"/>
        <v>9</v>
      </c>
      <c r="P98">
        <f t="shared" si="33"/>
        <v>0</v>
      </c>
      <c r="Q98">
        <f t="shared" si="34"/>
        <v>16</v>
      </c>
      <c r="S98">
        <f t="shared" si="38"/>
        <v>18432</v>
      </c>
      <c r="T98">
        <f t="shared" si="39"/>
        <v>0</v>
      </c>
      <c r="U98">
        <f t="shared" si="40"/>
        <v>16</v>
      </c>
      <c r="V98">
        <f t="shared" si="41"/>
        <v>18448</v>
      </c>
      <c r="X98" t="str">
        <f t="shared" si="42"/>
        <v>#define INDIGO NEW_COLOR(9,0,16)</v>
      </c>
    </row>
    <row r="99" spans="1:24" ht="15.6" hidden="1" thickBot="1">
      <c r="A99" s="106"/>
      <c r="B99" s="25" t="s">
        <v>350</v>
      </c>
      <c r="C99" s="25" t="s">
        <v>212</v>
      </c>
      <c r="D99" s="25" t="s">
        <v>213</v>
      </c>
      <c r="E99" s="237"/>
      <c r="F99" s="366"/>
      <c r="G99" t="str">
        <f t="shared" si="35"/>
        <v>01001000</v>
      </c>
      <c r="H99" t="str">
        <f t="shared" si="36"/>
        <v>00111101</v>
      </c>
      <c r="I99" t="str">
        <f t="shared" si="37"/>
        <v>10001011</v>
      </c>
      <c r="K99" t="str">
        <f t="shared" si="29"/>
        <v>01001</v>
      </c>
      <c r="L99" t="str">
        <f t="shared" si="30"/>
        <v>001111</v>
      </c>
      <c r="M99" t="str">
        <f t="shared" si="31"/>
        <v>10001</v>
      </c>
      <c r="O99">
        <f t="shared" si="32"/>
        <v>9</v>
      </c>
      <c r="P99">
        <f t="shared" si="33"/>
        <v>15</v>
      </c>
      <c r="Q99">
        <f t="shared" si="34"/>
        <v>17</v>
      </c>
      <c r="S99">
        <f t="shared" si="38"/>
        <v>18432</v>
      </c>
      <c r="T99">
        <f t="shared" si="39"/>
        <v>480</v>
      </c>
      <c r="U99">
        <f t="shared" si="40"/>
        <v>17</v>
      </c>
      <c r="V99">
        <f t="shared" si="41"/>
        <v>18929</v>
      </c>
      <c r="X99" t="str">
        <f t="shared" si="42"/>
        <v>#define DARK_SLATE_BLUE NEW_COLOR(9,15,17)</v>
      </c>
    </row>
    <row r="100" spans="1:24" ht="15.6" hidden="1" thickBot="1">
      <c r="A100" s="107"/>
      <c r="B100" s="25" t="s">
        <v>351</v>
      </c>
      <c r="C100" s="25" t="s">
        <v>214</v>
      </c>
      <c r="D100" s="25" t="s">
        <v>215</v>
      </c>
      <c r="E100" s="238"/>
      <c r="F100" s="367"/>
      <c r="G100" t="str">
        <f t="shared" si="35"/>
        <v>01101010</v>
      </c>
      <c r="H100" t="str">
        <f t="shared" si="36"/>
        <v>01011010</v>
      </c>
      <c r="I100" t="str">
        <f t="shared" si="37"/>
        <v>11001101</v>
      </c>
      <c r="K100" t="str">
        <f t="shared" si="29"/>
        <v>01101</v>
      </c>
      <c r="L100" t="str">
        <f t="shared" si="30"/>
        <v>010110</v>
      </c>
      <c r="M100" t="str">
        <f t="shared" si="31"/>
        <v>11001</v>
      </c>
      <c r="O100">
        <f t="shared" si="32"/>
        <v>13</v>
      </c>
      <c r="P100">
        <f t="shared" si="33"/>
        <v>22</v>
      </c>
      <c r="Q100">
        <f t="shared" si="34"/>
        <v>25</v>
      </c>
      <c r="S100">
        <f t="shared" si="38"/>
        <v>26624</v>
      </c>
      <c r="T100">
        <f t="shared" si="39"/>
        <v>704</v>
      </c>
      <c r="U100">
        <f t="shared" si="40"/>
        <v>25</v>
      </c>
      <c r="V100">
        <f t="shared" si="41"/>
        <v>27353</v>
      </c>
      <c r="X100" t="str">
        <f t="shared" si="42"/>
        <v>#define SLATE_BLUE NEW_COLOR(13,22,25)</v>
      </c>
    </row>
    <row r="101" spans="1:24" ht="15.6" hidden="1" thickBot="1">
      <c r="A101" s="108"/>
      <c r="B101" s="25" t="s">
        <v>352</v>
      </c>
      <c r="C101" s="25" t="s">
        <v>216</v>
      </c>
      <c r="D101" s="30">
        <v>-123104238</v>
      </c>
      <c r="E101" s="239"/>
      <c r="F101" s="368"/>
      <c r="G101" t="str">
        <f t="shared" si="35"/>
        <v>01111011</v>
      </c>
      <c r="H101" t="str">
        <f t="shared" si="36"/>
        <v>01101000</v>
      </c>
      <c r="I101" t="str">
        <f t="shared" si="37"/>
        <v>11101110</v>
      </c>
      <c r="K101" t="str">
        <f t="shared" si="29"/>
        <v>01111</v>
      </c>
      <c r="L101" t="str">
        <f t="shared" si="30"/>
        <v>011010</v>
      </c>
      <c r="M101" t="str">
        <f t="shared" si="31"/>
        <v>11101</v>
      </c>
      <c r="O101">
        <f t="shared" si="32"/>
        <v>15</v>
      </c>
      <c r="P101">
        <f t="shared" si="33"/>
        <v>26</v>
      </c>
      <c r="Q101">
        <f t="shared" si="34"/>
        <v>29</v>
      </c>
      <c r="S101">
        <f t="shared" si="38"/>
        <v>30720</v>
      </c>
      <c r="T101">
        <f t="shared" si="39"/>
        <v>832</v>
      </c>
      <c r="U101">
        <f t="shared" si="40"/>
        <v>29</v>
      </c>
      <c r="V101">
        <f t="shared" si="41"/>
        <v>31581</v>
      </c>
      <c r="X101" t="str">
        <f t="shared" si="42"/>
        <v>#define MEDIUM_SLATE_BLUE NEW_COLOR(15,26,29)</v>
      </c>
    </row>
    <row r="102" spans="1:24" ht="15.6" hidden="1" thickBot="1">
      <c r="A102" s="109"/>
      <c r="B102" s="25" t="s">
        <v>353</v>
      </c>
      <c r="C102" s="25" t="s">
        <v>217</v>
      </c>
      <c r="D102" s="30">
        <v>-147112219</v>
      </c>
      <c r="E102" s="240"/>
      <c r="F102" s="369"/>
      <c r="G102" t="str">
        <f t="shared" si="35"/>
        <v>10010011</v>
      </c>
      <c r="H102" t="str">
        <f t="shared" si="36"/>
        <v>01110000</v>
      </c>
      <c r="I102" t="str">
        <f t="shared" si="37"/>
        <v>11011011</v>
      </c>
      <c r="K102" t="str">
        <f t="shared" si="29"/>
        <v>10010</v>
      </c>
      <c r="L102" t="str">
        <f t="shared" si="30"/>
        <v>011100</v>
      </c>
      <c r="M102" t="str">
        <f t="shared" si="31"/>
        <v>11011</v>
      </c>
      <c r="O102">
        <f t="shared" si="32"/>
        <v>18</v>
      </c>
      <c r="P102">
        <f t="shared" si="33"/>
        <v>28</v>
      </c>
      <c r="Q102">
        <f t="shared" si="34"/>
        <v>27</v>
      </c>
      <c r="S102">
        <f t="shared" si="38"/>
        <v>36864</v>
      </c>
      <c r="T102">
        <f t="shared" si="39"/>
        <v>896</v>
      </c>
      <c r="U102">
        <f t="shared" si="40"/>
        <v>27</v>
      </c>
      <c r="V102">
        <f t="shared" si="41"/>
        <v>37787</v>
      </c>
      <c r="X102" t="str">
        <f t="shared" si="42"/>
        <v>#define MEDIUM_PURPLE NEW_COLOR(18,28,27)</v>
      </c>
    </row>
    <row r="103" spans="1:24" ht="15.6" hidden="1" thickBot="1">
      <c r="A103" s="110"/>
      <c r="B103" s="25" t="s">
        <v>354</v>
      </c>
      <c r="C103" s="25" t="s">
        <v>218</v>
      </c>
      <c r="D103" s="25" t="s">
        <v>219</v>
      </c>
      <c r="E103" s="241"/>
      <c r="F103" s="370"/>
      <c r="G103" t="str">
        <f t="shared" si="35"/>
        <v>10001011</v>
      </c>
      <c r="H103" t="str">
        <f t="shared" si="36"/>
        <v>00000000</v>
      </c>
      <c r="I103" t="str">
        <f t="shared" si="37"/>
        <v>10001011</v>
      </c>
      <c r="K103" t="str">
        <f t="shared" si="29"/>
        <v>10001</v>
      </c>
      <c r="L103" t="str">
        <f t="shared" si="30"/>
        <v>000000</v>
      </c>
      <c r="M103" t="str">
        <f t="shared" si="31"/>
        <v>10001</v>
      </c>
      <c r="O103">
        <f t="shared" si="32"/>
        <v>17</v>
      </c>
      <c r="P103">
        <f t="shared" si="33"/>
        <v>0</v>
      </c>
      <c r="Q103">
        <f t="shared" si="34"/>
        <v>17</v>
      </c>
      <c r="S103">
        <f t="shared" si="38"/>
        <v>34816</v>
      </c>
      <c r="T103">
        <f t="shared" si="39"/>
        <v>0</v>
      </c>
      <c r="U103">
        <f t="shared" si="40"/>
        <v>17</v>
      </c>
      <c r="V103">
        <f t="shared" si="41"/>
        <v>34833</v>
      </c>
      <c r="X103" t="str">
        <f t="shared" si="42"/>
        <v>#define DARK_MAGENTA NEW_COLOR(17,0,17)</v>
      </c>
    </row>
    <row r="104" spans="1:24" ht="15.6" hidden="1" thickBot="1">
      <c r="A104" s="111"/>
      <c r="B104" s="25" t="s">
        <v>355</v>
      </c>
      <c r="C104" s="25" t="s">
        <v>220</v>
      </c>
      <c r="D104" s="25" t="s">
        <v>221</v>
      </c>
      <c r="E104" s="242"/>
      <c r="F104" s="371"/>
      <c r="G104" t="str">
        <f t="shared" si="35"/>
        <v>10010100</v>
      </c>
      <c r="H104" t="str">
        <f t="shared" si="36"/>
        <v>00000000</v>
      </c>
      <c r="I104" t="str">
        <f t="shared" si="37"/>
        <v>11010011</v>
      </c>
      <c r="K104" t="str">
        <f t="shared" si="29"/>
        <v>10010</v>
      </c>
      <c r="L104" t="str">
        <f t="shared" si="30"/>
        <v>000000</v>
      </c>
      <c r="M104" t="str">
        <f t="shared" si="31"/>
        <v>11010</v>
      </c>
      <c r="O104">
        <f t="shared" si="32"/>
        <v>18</v>
      </c>
      <c r="P104">
        <f t="shared" si="33"/>
        <v>0</v>
      </c>
      <c r="Q104">
        <f t="shared" si="34"/>
        <v>26</v>
      </c>
      <c r="S104">
        <f t="shared" si="38"/>
        <v>36864</v>
      </c>
      <c r="T104">
        <f t="shared" si="39"/>
        <v>0</v>
      </c>
      <c r="U104">
        <f t="shared" si="40"/>
        <v>26</v>
      </c>
      <c r="V104">
        <f t="shared" si="41"/>
        <v>36890</v>
      </c>
      <c r="X104" t="str">
        <f t="shared" si="42"/>
        <v>#define DARK_VIOLET NEW_COLOR(18,0,26)</v>
      </c>
    </row>
    <row r="105" spans="1:24" ht="15.6" hidden="1" thickBot="1">
      <c r="A105" s="112"/>
      <c r="B105" s="25" t="s">
        <v>356</v>
      </c>
      <c r="C105" s="25" t="s">
        <v>222</v>
      </c>
      <c r="D105" s="25" t="s">
        <v>223</v>
      </c>
      <c r="E105" s="243"/>
      <c r="F105" s="372"/>
      <c r="G105" t="str">
        <f t="shared" si="35"/>
        <v>10011001</v>
      </c>
      <c r="H105" t="str">
        <f t="shared" si="36"/>
        <v>00110010</v>
      </c>
      <c r="I105" t="str">
        <f t="shared" si="37"/>
        <v>11001100</v>
      </c>
      <c r="K105" t="str">
        <f t="shared" si="29"/>
        <v>10011</v>
      </c>
      <c r="L105" t="str">
        <f t="shared" si="30"/>
        <v>001100</v>
      </c>
      <c r="M105" t="str">
        <f t="shared" si="31"/>
        <v>11001</v>
      </c>
      <c r="O105">
        <f t="shared" si="32"/>
        <v>19</v>
      </c>
      <c r="P105">
        <f t="shared" si="33"/>
        <v>12</v>
      </c>
      <c r="Q105">
        <f t="shared" si="34"/>
        <v>25</v>
      </c>
      <c r="S105">
        <f t="shared" si="38"/>
        <v>38912</v>
      </c>
      <c r="T105">
        <f t="shared" si="39"/>
        <v>384</v>
      </c>
      <c r="U105">
        <f t="shared" si="40"/>
        <v>25</v>
      </c>
      <c r="V105">
        <f t="shared" si="41"/>
        <v>39321</v>
      </c>
      <c r="X105" t="str">
        <f t="shared" si="42"/>
        <v>#define DARK_ORCHID NEW_COLOR(19,12,25)</v>
      </c>
    </row>
    <row r="106" spans="1:24" ht="15.6" hidden="1" thickBot="1">
      <c r="A106" s="113"/>
      <c r="B106" s="25" t="s">
        <v>357</v>
      </c>
      <c r="C106" s="25" t="s">
        <v>224</v>
      </c>
      <c r="D106" s="25" t="s">
        <v>225</v>
      </c>
      <c r="E106" s="244"/>
      <c r="F106" s="373"/>
      <c r="G106" t="str">
        <f t="shared" si="35"/>
        <v>10111010</v>
      </c>
      <c r="H106" t="str">
        <f t="shared" si="36"/>
        <v>01010101</v>
      </c>
      <c r="I106" t="str">
        <f t="shared" si="37"/>
        <v>11010011</v>
      </c>
      <c r="K106" t="str">
        <f t="shared" si="29"/>
        <v>10111</v>
      </c>
      <c r="L106" t="str">
        <f t="shared" si="30"/>
        <v>010101</v>
      </c>
      <c r="M106" t="str">
        <f t="shared" si="31"/>
        <v>11010</v>
      </c>
      <c r="O106">
        <f t="shared" si="32"/>
        <v>23</v>
      </c>
      <c r="P106">
        <f t="shared" si="33"/>
        <v>21</v>
      </c>
      <c r="Q106">
        <f t="shared" si="34"/>
        <v>26</v>
      </c>
      <c r="S106">
        <f t="shared" si="38"/>
        <v>47104</v>
      </c>
      <c r="T106">
        <f t="shared" si="39"/>
        <v>672</v>
      </c>
      <c r="U106">
        <f t="shared" si="40"/>
        <v>26</v>
      </c>
      <c r="V106">
        <f t="shared" si="41"/>
        <v>47802</v>
      </c>
      <c r="X106" t="str">
        <f t="shared" si="42"/>
        <v>#define MEDIUM_ORCHID NEW_COLOR(23,21,26)</v>
      </c>
    </row>
    <row r="107" spans="1:24" ht="15.6" hidden="1" thickBot="1">
      <c r="A107" s="42"/>
      <c r="B107" s="25" t="s">
        <v>56</v>
      </c>
      <c r="C107" s="25" t="s">
        <v>93</v>
      </c>
      <c r="D107" s="25" t="s">
        <v>94</v>
      </c>
      <c r="E107" s="245"/>
      <c r="F107" s="245"/>
      <c r="G107" t="str">
        <f t="shared" si="35"/>
        <v>10000000</v>
      </c>
      <c r="H107" t="str">
        <f t="shared" si="36"/>
        <v>00000000</v>
      </c>
      <c r="I107" t="str">
        <f t="shared" si="37"/>
        <v>10000000</v>
      </c>
      <c r="K107" t="str">
        <f t="shared" si="29"/>
        <v>10000</v>
      </c>
      <c r="L107" t="str">
        <f t="shared" si="30"/>
        <v>000000</v>
      </c>
      <c r="M107" t="str">
        <f t="shared" si="31"/>
        <v>10000</v>
      </c>
      <c r="O107">
        <f t="shared" si="32"/>
        <v>16</v>
      </c>
      <c r="P107">
        <f t="shared" si="33"/>
        <v>0</v>
      </c>
      <c r="Q107">
        <f t="shared" si="34"/>
        <v>16</v>
      </c>
      <c r="S107">
        <f t="shared" si="38"/>
        <v>32768</v>
      </c>
      <c r="T107">
        <f t="shared" si="39"/>
        <v>0</v>
      </c>
      <c r="U107">
        <f t="shared" si="40"/>
        <v>16</v>
      </c>
      <c r="V107">
        <f t="shared" si="41"/>
        <v>32784</v>
      </c>
      <c r="X107" t="str">
        <f t="shared" si="42"/>
        <v>#define PURPLE NEW_COLOR(16,0,16)</v>
      </c>
    </row>
    <row r="108" spans="1:24" ht="15.6" hidden="1" thickBot="1">
      <c r="A108" s="114"/>
      <c r="B108" s="25" t="s">
        <v>226</v>
      </c>
      <c r="C108" s="25" t="s">
        <v>227</v>
      </c>
      <c r="D108" s="30">
        <v>-216191216</v>
      </c>
      <c r="E108" s="246"/>
      <c r="F108" s="374"/>
      <c r="G108" t="str">
        <f t="shared" si="35"/>
        <v>11011000</v>
      </c>
      <c r="H108" t="str">
        <f t="shared" si="36"/>
        <v>10111111</v>
      </c>
      <c r="I108" t="str">
        <f t="shared" si="37"/>
        <v>11011000</v>
      </c>
      <c r="K108" t="str">
        <f t="shared" si="29"/>
        <v>11011</v>
      </c>
      <c r="L108" t="str">
        <f t="shared" si="30"/>
        <v>101111</v>
      </c>
      <c r="M108" t="str">
        <f t="shared" si="31"/>
        <v>11011</v>
      </c>
      <c r="O108">
        <f t="shared" si="32"/>
        <v>27</v>
      </c>
      <c r="P108">
        <f t="shared" si="33"/>
        <v>47</v>
      </c>
      <c r="Q108">
        <f t="shared" si="34"/>
        <v>27</v>
      </c>
      <c r="S108">
        <f t="shared" si="38"/>
        <v>55296</v>
      </c>
      <c r="T108">
        <f t="shared" si="39"/>
        <v>1504</v>
      </c>
      <c r="U108">
        <f t="shared" si="40"/>
        <v>27</v>
      </c>
      <c r="V108">
        <f t="shared" si="41"/>
        <v>56827</v>
      </c>
      <c r="X108" t="str">
        <f t="shared" si="42"/>
        <v>#define THISTLE NEW_COLOR(27,47,27)</v>
      </c>
    </row>
    <row r="109" spans="1:24" ht="15.6" hidden="1" thickBot="1">
      <c r="A109" s="115"/>
      <c r="B109" s="25" t="s">
        <v>228</v>
      </c>
      <c r="C109" s="25" t="s">
        <v>229</v>
      </c>
      <c r="D109" s="30">
        <v>-221160221</v>
      </c>
      <c r="E109" s="247"/>
      <c r="F109" s="375"/>
      <c r="G109" t="str">
        <f t="shared" si="35"/>
        <v>11011101</v>
      </c>
      <c r="H109" t="str">
        <f t="shared" si="36"/>
        <v>10100000</v>
      </c>
      <c r="I109" t="str">
        <f t="shared" si="37"/>
        <v>11011101</v>
      </c>
      <c r="K109" t="str">
        <f t="shared" si="29"/>
        <v>11011</v>
      </c>
      <c r="L109" t="str">
        <f t="shared" si="30"/>
        <v>101000</v>
      </c>
      <c r="M109" t="str">
        <f t="shared" si="31"/>
        <v>11011</v>
      </c>
      <c r="O109">
        <f t="shared" si="32"/>
        <v>27</v>
      </c>
      <c r="P109">
        <f t="shared" si="33"/>
        <v>40</v>
      </c>
      <c r="Q109">
        <f t="shared" si="34"/>
        <v>27</v>
      </c>
      <c r="S109">
        <f t="shared" si="38"/>
        <v>55296</v>
      </c>
      <c r="T109">
        <f t="shared" si="39"/>
        <v>1280</v>
      </c>
      <c r="U109">
        <f t="shared" si="40"/>
        <v>27</v>
      </c>
      <c r="V109">
        <f t="shared" si="41"/>
        <v>56603</v>
      </c>
      <c r="X109" t="str">
        <f t="shared" si="42"/>
        <v>#define PLUM NEW_COLOR(27,40,27)</v>
      </c>
    </row>
    <row r="110" spans="1:24" ht="15.6" hidden="1" thickBot="1">
      <c r="A110" s="116"/>
      <c r="B110" s="25" t="s">
        <v>59</v>
      </c>
      <c r="C110" s="25" t="s">
        <v>230</v>
      </c>
      <c r="D110" s="30">
        <v>-238130238</v>
      </c>
      <c r="E110" s="248"/>
      <c r="F110" s="376"/>
      <c r="G110" t="str">
        <f t="shared" si="35"/>
        <v>11101110</v>
      </c>
      <c r="H110" t="str">
        <f t="shared" si="36"/>
        <v>10000010</v>
      </c>
      <c r="I110" t="str">
        <f t="shared" si="37"/>
        <v>11101110</v>
      </c>
      <c r="K110" t="str">
        <f t="shared" si="29"/>
        <v>11101</v>
      </c>
      <c r="L110" t="str">
        <f t="shared" si="30"/>
        <v>100000</v>
      </c>
      <c r="M110" t="str">
        <f t="shared" si="31"/>
        <v>11101</v>
      </c>
      <c r="O110">
        <f t="shared" si="32"/>
        <v>29</v>
      </c>
      <c r="P110">
        <f t="shared" si="33"/>
        <v>32</v>
      </c>
      <c r="Q110">
        <f t="shared" si="34"/>
        <v>29</v>
      </c>
      <c r="S110">
        <f t="shared" si="38"/>
        <v>59392</v>
      </c>
      <c r="T110">
        <f t="shared" si="39"/>
        <v>1024</v>
      </c>
      <c r="U110">
        <f t="shared" si="40"/>
        <v>29</v>
      </c>
      <c r="V110">
        <f t="shared" si="41"/>
        <v>60445</v>
      </c>
      <c r="X110" t="str">
        <f t="shared" si="42"/>
        <v>#define VIOLET NEW_COLOR(29,32,29)</v>
      </c>
    </row>
    <row r="111" spans="1:24" ht="15.6" hidden="1" thickBot="1">
      <c r="A111" s="36"/>
      <c r="B111" s="25" t="s">
        <v>387</v>
      </c>
      <c r="C111" s="25" t="s">
        <v>83</v>
      </c>
      <c r="D111" s="25" t="s">
        <v>84</v>
      </c>
      <c r="E111" s="249"/>
      <c r="F111" s="377"/>
      <c r="G111" t="str">
        <f t="shared" si="35"/>
        <v>11111111</v>
      </c>
      <c r="H111" t="str">
        <f t="shared" si="36"/>
        <v>00000000</v>
      </c>
      <c r="I111" t="str">
        <f t="shared" si="37"/>
        <v>11111111</v>
      </c>
      <c r="K111" t="str">
        <f t="shared" si="29"/>
        <v>11111</v>
      </c>
      <c r="L111" t="str">
        <f t="shared" si="30"/>
        <v>000000</v>
      </c>
      <c r="M111" t="str">
        <f t="shared" si="31"/>
        <v>11111</v>
      </c>
      <c r="O111">
        <f t="shared" si="32"/>
        <v>31</v>
      </c>
      <c r="P111">
        <f t="shared" si="33"/>
        <v>0</v>
      </c>
      <c r="Q111">
        <f t="shared" si="34"/>
        <v>31</v>
      </c>
      <c r="S111">
        <f t="shared" si="38"/>
        <v>63488</v>
      </c>
      <c r="T111">
        <f t="shared" si="39"/>
        <v>0</v>
      </c>
      <c r="U111">
        <f t="shared" si="40"/>
        <v>31</v>
      </c>
      <c r="V111">
        <f t="shared" si="41"/>
        <v>63519</v>
      </c>
      <c r="X111" t="str">
        <f t="shared" si="42"/>
        <v>#define MAGENTA NEW_COLOR(31,0,31)</v>
      </c>
    </row>
    <row r="112" spans="1:24" ht="15.6" hidden="1" thickBot="1">
      <c r="A112" s="117"/>
      <c r="B112" s="25" t="s">
        <v>231</v>
      </c>
      <c r="C112" s="25" t="s">
        <v>232</v>
      </c>
      <c r="D112" s="30">
        <v>-218112214</v>
      </c>
      <c r="E112" s="250"/>
      <c r="F112" s="378"/>
      <c r="G112" t="str">
        <f t="shared" si="35"/>
        <v>11011010</v>
      </c>
      <c r="H112" t="str">
        <f t="shared" si="36"/>
        <v>01110000</v>
      </c>
      <c r="I112" t="str">
        <f t="shared" si="37"/>
        <v>11010110</v>
      </c>
      <c r="K112" t="str">
        <f t="shared" si="29"/>
        <v>11011</v>
      </c>
      <c r="L112" t="str">
        <f t="shared" si="30"/>
        <v>011100</v>
      </c>
      <c r="M112" t="str">
        <f t="shared" si="31"/>
        <v>11010</v>
      </c>
      <c r="O112">
        <f t="shared" si="32"/>
        <v>27</v>
      </c>
      <c r="P112">
        <f t="shared" si="33"/>
        <v>28</v>
      </c>
      <c r="Q112">
        <f t="shared" si="34"/>
        <v>26</v>
      </c>
      <c r="S112">
        <f t="shared" si="38"/>
        <v>55296</v>
      </c>
      <c r="T112">
        <f t="shared" si="39"/>
        <v>896</v>
      </c>
      <c r="U112">
        <f t="shared" si="40"/>
        <v>26</v>
      </c>
      <c r="V112">
        <f t="shared" si="41"/>
        <v>56218</v>
      </c>
      <c r="X112" t="str">
        <f t="shared" si="42"/>
        <v>#define ORCHID NEW_COLOR(27,28,26)</v>
      </c>
    </row>
    <row r="113" spans="1:24" ht="15.6" hidden="1" thickBot="1">
      <c r="A113" s="118"/>
      <c r="B113" s="25" t="s">
        <v>358</v>
      </c>
      <c r="C113" s="25" t="s">
        <v>233</v>
      </c>
      <c r="D113" s="25" t="s">
        <v>234</v>
      </c>
      <c r="E113" s="251"/>
      <c r="F113" s="379"/>
      <c r="G113" t="str">
        <f t="shared" si="35"/>
        <v>11000111</v>
      </c>
      <c r="H113" t="str">
        <f t="shared" si="36"/>
        <v>00010101</v>
      </c>
      <c r="I113" t="str">
        <f t="shared" si="37"/>
        <v>10000101</v>
      </c>
      <c r="K113" t="str">
        <f t="shared" si="29"/>
        <v>11000</v>
      </c>
      <c r="L113" t="str">
        <f t="shared" si="30"/>
        <v>000101</v>
      </c>
      <c r="M113" t="str">
        <f t="shared" si="31"/>
        <v>10000</v>
      </c>
      <c r="O113">
        <f t="shared" si="32"/>
        <v>24</v>
      </c>
      <c r="P113">
        <f t="shared" si="33"/>
        <v>5</v>
      </c>
      <c r="Q113">
        <f t="shared" si="34"/>
        <v>16</v>
      </c>
      <c r="S113">
        <f t="shared" si="38"/>
        <v>49152</v>
      </c>
      <c r="T113">
        <f t="shared" si="39"/>
        <v>160</v>
      </c>
      <c r="U113">
        <f t="shared" si="40"/>
        <v>16</v>
      </c>
      <c r="V113">
        <f t="shared" si="41"/>
        <v>49328</v>
      </c>
      <c r="X113" t="str">
        <f t="shared" si="42"/>
        <v>#define MEDIUM_VIOLET_RED NEW_COLOR(24,5,16)</v>
      </c>
    </row>
    <row r="114" spans="1:24" ht="15.6" hidden="1" thickBot="1">
      <c r="A114" s="119"/>
      <c r="B114" s="25" t="s">
        <v>359</v>
      </c>
      <c r="C114" s="25" t="s">
        <v>235</v>
      </c>
      <c r="D114" s="30">
        <v>-219112147</v>
      </c>
      <c r="E114" s="252"/>
      <c r="F114" s="380"/>
      <c r="G114" t="str">
        <f t="shared" si="35"/>
        <v>11011011</v>
      </c>
      <c r="H114" t="str">
        <f t="shared" si="36"/>
        <v>01110000</v>
      </c>
      <c r="I114" t="str">
        <f t="shared" si="37"/>
        <v>10010011</v>
      </c>
      <c r="K114" t="str">
        <f t="shared" si="29"/>
        <v>11011</v>
      </c>
      <c r="L114" t="str">
        <f t="shared" si="30"/>
        <v>011100</v>
      </c>
      <c r="M114" t="str">
        <f t="shared" si="31"/>
        <v>10010</v>
      </c>
      <c r="O114">
        <f t="shared" si="32"/>
        <v>27</v>
      </c>
      <c r="P114">
        <f t="shared" si="33"/>
        <v>28</v>
      </c>
      <c r="Q114">
        <f t="shared" si="34"/>
        <v>18</v>
      </c>
      <c r="S114">
        <f t="shared" si="38"/>
        <v>55296</v>
      </c>
      <c r="T114">
        <f t="shared" si="39"/>
        <v>896</v>
      </c>
      <c r="U114">
        <f t="shared" si="40"/>
        <v>18</v>
      </c>
      <c r="V114">
        <f t="shared" si="41"/>
        <v>56210</v>
      </c>
      <c r="X114" t="str">
        <f t="shared" si="42"/>
        <v>#define PALE_VIOLET_RED NEW_COLOR(27,28,18)</v>
      </c>
    </row>
    <row r="115" spans="1:24" ht="15.6" hidden="1" thickBot="1">
      <c r="A115" s="120"/>
      <c r="B115" s="25" t="s">
        <v>360</v>
      </c>
      <c r="C115" s="25" t="s">
        <v>236</v>
      </c>
      <c r="D115" s="25" t="s">
        <v>237</v>
      </c>
      <c r="E115" s="253"/>
      <c r="F115" s="381"/>
      <c r="G115" t="str">
        <f t="shared" si="35"/>
        <v>11111111</v>
      </c>
      <c r="H115" t="str">
        <f t="shared" si="36"/>
        <v>00010100</v>
      </c>
      <c r="I115" t="str">
        <f t="shared" si="37"/>
        <v>10010011</v>
      </c>
      <c r="K115" t="str">
        <f t="shared" si="29"/>
        <v>11111</v>
      </c>
      <c r="L115" t="str">
        <f t="shared" si="30"/>
        <v>000101</v>
      </c>
      <c r="M115" t="str">
        <f t="shared" si="31"/>
        <v>10010</v>
      </c>
      <c r="O115">
        <f t="shared" si="32"/>
        <v>31</v>
      </c>
      <c r="P115">
        <f t="shared" si="33"/>
        <v>5</v>
      </c>
      <c r="Q115">
        <f t="shared" si="34"/>
        <v>18</v>
      </c>
      <c r="S115">
        <f t="shared" si="38"/>
        <v>63488</v>
      </c>
      <c r="T115">
        <f t="shared" si="39"/>
        <v>160</v>
      </c>
      <c r="U115">
        <f t="shared" si="40"/>
        <v>18</v>
      </c>
      <c r="V115">
        <f t="shared" si="41"/>
        <v>63666</v>
      </c>
      <c r="X115" t="str">
        <f t="shared" si="42"/>
        <v>#define DEEP_PINK NEW_COLOR(31,5,18)</v>
      </c>
    </row>
    <row r="116" spans="1:24" ht="15.6" hidden="1" thickBot="1">
      <c r="A116" s="121"/>
      <c r="B116" s="25" t="s">
        <v>361</v>
      </c>
      <c r="C116" s="25" t="s">
        <v>238</v>
      </c>
      <c r="D116" s="30">
        <v>-255105180</v>
      </c>
      <c r="E116" s="254"/>
      <c r="F116" s="382"/>
      <c r="G116" t="str">
        <f t="shared" si="35"/>
        <v>11111111</v>
      </c>
      <c r="H116" t="str">
        <f t="shared" si="36"/>
        <v>01101001</v>
      </c>
      <c r="I116" t="str">
        <f t="shared" si="37"/>
        <v>10110100</v>
      </c>
      <c r="K116" t="str">
        <f t="shared" si="29"/>
        <v>11111</v>
      </c>
      <c r="L116" t="str">
        <f t="shared" si="30"/>
        <v>011010</v>
      </c>
      <c r="M116" t="str">
        <f t="shared" si="31"/>
        <v>10110</v>
      </c>
      <c r="O116">
        <f t="shared" si="32"/>
        <v>31</v>
      </c>
      <c r="P116">
        <f t="shared" si="33"/>
        <v>26</v>
      </c>
      <c r="Q116">
        <f t="shared" si="34"/>
        <v>22</v>
      </c>
      <c r="S116">
        <f t="shared" si="38"/>
        <v>63488</v>
      </c>
      <c r="T116">
        <f t="shared" si="39"/>
        <v>832</v>
      </c>
      <c r="U116">
        <f t="shared" si="40"/>
        <v>22</v>
      </c>
      <c r="V116">
        <f t="shared" si="41"/>
        <v>64342</v>
      </c>
      <c r="X116" t="str">
        <f t="shared" si="42"/>
        <v>#define HOT_PINK NEW_COLOR(31,26,22)</v>
      </c>
    </row>
    <row r="117" spans="1:24" ht="15.6" hidden="1" thickBot="1">
      <c r="A117" s="122"/>
      <c r="B117" s="25" t="s">
        <v>362</v>
      </c>
      <c r="C117" s="25" t="s">
        <v>239</v>
      </c>
      <c r="D117" s="30">
        <v>-255182193</v>
      </c>
      <c r="E117" s="255"/>
      <c r="F117" s="383"/>
      <c r="G117" t="str">
        <f t="shared" si="35"/>
        <v>11111111</v>
      </c>
      <c r="H117" t="str">
        <f t="shared" si="36"/>
        <v>10110110</v>
      </c>
      <c r="I117" t="str">
        <f t="shared" si="37"/>
        <v>11000001</v>
      </c>
      <c r="K117" t="str">
        <f t="shared" si="29"/>
        <v>11111</v>
      </c>
      <c r="L117" t="str">
        <f t="shared" si="30"/>
        <v>101101</v>
      </c>
      <c r="M117" t="str">
        <f t="shared" si="31"/>
        <v>11000</v>
      </c>
      <c r="O117">
        <f t="shared" si="32"/>
        <v>31</v>
      </c>
      <c r="P117">
        <f t="shared" si="33"/>
        <v>45</v>
      </c>
      <c r="Q117">
        <f t="shared" si="34"/>
        <v>24</v>
      </c>
      <c r="S117">
        <f t="shared" si="38"/>
        <v>63488</v>
      </c>
      <c r="T117">
        <f t="shared" si="39"/>
        <v>1440</v>
      </c>
      <c r="U117">
        <f t="shared" si="40"/>
        <v>24</v>
      </c>
      <c r="V117">
        <f t="shared" si="41"/>
        <v>64952</v>
      </c>
      <c r="X117" t="str">
        <f t="shared" si="42"/>
        <v>#define LIGHT_PINK NEW_COLOR(31,45,24)</v>
      </c>
    </row>
    <row r="118" spans="1:24" ht="15.6" hidden="1" thickBot="1">
      <c r="A118" s="123"/>
      <c r="B118" s="25" t="s">
        <v>55</v>
      </c>
      <c r="C118" s="25" t="s">
        <v>240</v>
      </c>
      <c r="D118" s="30">
        <v>-255192203</v>
      </c>
      <c r="E118" s="256"/>
      <c r="F118" s="384"/>
      <c r="G118" t="str">
        <f t="shared" si="35"/>
        <v>11111111</v>
      </c>
      <c r="H118" t="str">
        <f t="shared" si="36"/>
        <v>11000000</v>
      </c>
      <c r="I118" t="str">
        <f t="shared" si="37"/>
        <v>11001011</v>
      </c>
      <c r="K118" t="str">
        <f t="shared" si="29"/>
        <v>11111</v>
      </c>
      <c r="L118" t="str">
        <f t="shared" si="30"/>
        <v>110000</v>
      </c>
      <c r="M118" t="str">
        <f t="shared" si="31"/>
        <v>11001</v>
      </c>
      <c r="O118">
        <f t="shared" si="32"/>
        <v>31</v>
      </c>
      <c r="P118">
        <f t="shared" si="33"/>
        <v>48</v>
      </c>
      <c r="Q118">
        <f t="shared" si="34"/>
        <v>25</v>
      </c>
      <c r="S118">
        <f t="shared" si="38"/>
        <v>63488</v>
      </c>
      <c r="T118">
        <f t="shared" si="39"/>
        <v>1536</v>
      </c>
      <c r="U118">
        <f t="shared" si="40"/>
        <v>25</v>
      </c>
      <c r="V118">
        <f t="shared" si="41"/>
        <v>65049</v>
      </c>
      <c r="X118" t="str">
        <f t="shared" si="42"/>
        <v>#define PINK NEW_COLOR(31,48,25)</v>
      </c>
    </row>
    <row r="119" spans="1:24" ht="15.6" hidden="1" thickBot="1">
      <c r="A119" s="124"/>
      <c r="B119" s="25" t="s">
        <v>363</v>
      </c>
      <c r="C119" s="25" t="s">
        <v>241</v>
      </c>
      <c r="D119" s="30">
        <v>-250235215</v>
      </c>
      <c r="E119" s="257"/>
      <c r="F119" s="385"/>
      <c r="G119" t="str">
        <f t="shared" si="35"/>
        <v>11111010</v>
      </c>
      <c r="H119" t="str">
        <f t="shared" si="36"/>
        <v>11101011</v>
      </c>
      <c r="I119" t="str">
        <f t="shared" si="37"/>
        <v>11010111</v>
      </c>
      <c r="K119" t="str">
        <f t="shared" si="29"/>
        <v>11111</v>
      </c>
      <c r="L119" t="str">
        <f t="shared" si="30"/>
        <v>111010</v>
      </c>
      <c r="M119" t="str">
        <f t="shared" si="31"/>
        <v>11010</v>
      </c>
      <c r="O119">
        <f t="shared" si="32"/>
        <v>31</v>
      </c>
      <c r="P119">
        <f t="shared" si="33"/>
        <v>58</v>
      </c>
      <c r="Q119">
        <f t="shared" si="34"/>
        <v>26</v>
      </c>
      <c r="S119">
        <f t="shared" si="38"/>
        <v>63488</v>
      </c>
      <c r="T119">
        <f t="shared" si="39"/>
        <v>1856</v>
      </c>
      <c r="U119">
        <f t="shared" si="40"/>
        <v>26</v>
      </c>
      <c r="V119">
        <f t="shared" si="41"/>
        <v>65370</v>
      </c>
      <c r="X119" t="str">
        <f t="shared" si="42"/>
        <v>#define ANTIQUE_WHITE NEW_COLOR(31,58,26)</v>
      </c>
    </row>
    <row r="120" spans="1:24" ht="15.6" hidden="1" thickBot="1">
      <c r="A120" s="125"/>
      <c r="B120" s="25" t="s">
        <v>242</v>
      </c>
      <c r="C120" s="25" t="s">
        <v>243</v>
      </c>
      <c r="D120" s="30">
        <v>-245245220</v>
      </c>
      <c r="E120" s="258"/>
      <c r="F120" s="386"/>
      <c r="G120" t="str">
        <f t="shared" si="35"/>
        <v>11110101</v>
      </c>
      <c r="H120" t="str">
        <f t="shared" si="36"/>
        <v>11110101</v>
      </c>
      <c r="I120" t="str">
        <f t="shared" si="37"/>
        <v>11011100</v>
      </c>
      <c r="K120" t="str">
        <f t="shared" si="29"/>
        <v>11110</v>
      </c>
      <c r="L120" t="str">
        <f t="shared" si="30"/>
        <v>111101</v>
      </c>
      <c r="M120" t="str">
        <f t="shared" si="31"/>
        <v>11011</v>
      </c>
      <c r="O120">
        <f t="shared" si="32"/>
        <v>30</v>
      </c>
      <c r="P120">
        <f t="shared" si="33"/>
        <v>61</v>
      </c>
      <c r="Q120">
        <f t="shared" si="34"/>
        <v>27</v>
      </c>
      <c r="S120">
        <f t="shared" si="38"/>
        <v>61440</v>
      </c>
      <c r="T120">
        <f t="shared" si="39"/>
        <v>1952</v>
      </c>
      <c r="U120">
        <f t="shared" si="40"/>
        <v>27</v>
      </c>
      <c r="V120">
        <f t="shared" si="41"/>
        <v>63419</v>
      </c>
      <c r="X120" t="str">
        <f t="shared" si="42"/>
        <v>#define BEIGE NEW_COLOR(30,61,27)</v>
      </c>
    </row>
    <row r="121" spans="1:24" ht="15.6" hidden="1" thickBot="1">
      <c r="A121" s="126"/>
      <c r="B121" s="25" t="s">
        <v>244</v>
      </c>
      <c r="C121" s="25" t="s">
        <v>245</v>
      </c>
      <c r="D121" s="30">
        <v>-255228196</v>
      </c>
      <c r="E121" s="259"/>
      <c r="F121" s="387"/>
      <c r="G121" t="str">
        <f t="shared" si="35"/>
        <v>11111111</v>
      </c>
      <c r="H121" t="str">
        <f t="shared" si="36"/>
        <v>11100100</v>
      </c>
      <c r="I121" t="str">
        <f t="shared" si="37"/>
        <v>11000100</v>
      </c>
      <c r="K121" t="str">
        <f t="shared" si="29"/>
        <v>11111</v>
      </c>
      <c r="L121" t="str">
        <f t="shared" si="30"/>
        <v>111001</v>
      </c>
      <c r="M121" t="str">
        <f t="shared" si="31"/>
        <v>11000</v>
      </c>
      <c r="O121">
        <f t="shared" si="32"/>
        <v>31</v>
      </c>
      <c r="P121">
        <f t="shared" si="33"/>
        <v>57</v>
      </c>
      <c r="Q121">
        <f t="shared" si="34"/>
        <v>24</v>
      </c>
      <c r="S121">
        <f t="shared" si="38"/>
        <v>63488</v>
      </c>
      <c r="T121">
        <f t="shared" si="39"/>
        <v>1824</v>
      </c>
      <c r="U121">
        <f t="shared" si="40"/>
        <v>24</v>
      </c>
      <c r="V121">
        <f t="shared" si="41"/>
        <v>65336</v>
      </c>
      <c r="X121" t="str">
        <f t="shared" si="42"/>
        <v>#define BISQUE NEW_COLOR(31,57,24)</v>
      </c>
    </row>
    <row r="122" spans="1:24" ht="15.6" hidden="1" thickBot="1">
      <c r="A122" s="127"/>
      <c r="B122" s="25" t="s">
        <v>364</v>
      </c>
      <c r="C122" s="25" t="s">
        <v>246</v>
      </c>
      <c r="D122" s="30">
        <v>-255235205</v>
      </c>
      <c r="E122" s="260"/>
      <c r="F122" s="388"/>
      <c r="G122" t="str">
        <f t="shared" si="35"/>
        <v>11111111</v>
      </c>
      <c r="H122" t="str">
        <f t="shared" si="36"/>
        <v>11101011</v>
      </c>
      <c r="I122" t="str">
        <f t="shared" si="37"/>
        <v>11001101</v>
      </c>
      <c r="K122" t="str">
        <f t="shared" si="29"/>
        <v>11111</v>
      </c>
      <c r="L122" t="str">
        <f t="shared" si="30"/>
        <v>111010</v>
      </c>
      <c r="M122" t="str">
        <f t="shared" si="31"/>
        <v>11001</v>
      </c>
      <c r="O122">
        <f t="shared" si="32"/>
        <v>31</v>
      </c>
      <c r="P122">
        <f t="shared" si="33"/>
        <v>58</v>
      </c>
      <c r="Q122">
        <f t="shared" si="34"/>
        <v>25</v>
      </c>
      <c r="S122">
        <f t="shared" si="38"/>
        <v>63488</v>
      </c>
      <c r="T122">
        <f t="shared" si="39"/>
        <v>1856</v>
      </c>
      <c r="U122">
        <f t="shared" si="40"/>
        <v>25</v>
      </c>
      <c r="V122">
        <f t="shared" si="41"/>
        <v>65369</v>
      </c>
      <c r="X122" t="str">
        <f t="shared" si="42"/>
        <v>#define BLANCHED_ALMOND NEW_COLOR(31,58,25)</v>
      </c>
    </row>
    <row r="123" spans="1:24" ht="15.6" hidden="1" thickBot="1">
      <c r="A123" s="128"/>
      <c r="B123" s="25" t="s">
        <v>247</v>
      </c>
      <c r="C123" s="25" t="s">
        <v>248</v>
      </c>
      <c r="D123" s="30">
        <v>-245222179</v>
      </c>
      <c r="E123" s="261"/>
      <c r="F123" s="389"/>
      <c r="G123" t="str">
        <f t="shared" si="35"/>
        <v>11110101</v>
      </c>
      <c r="H123" t="str">
        <f t="shared" si="36"/>
        <v>11011110</v>
      </c>
      <c r="I123" t="str">
        <f t="shared" si="37"/>
        <v>10110011</v>
      </c>
      <c r="K123" t="str">
        <f t="shared" si="29"/>
        <v>11110</v>
      </c>
      <c r="L123" t="str">
        <f t="shared" si="30"/>
        <v>110111</v>
      </c>
      <c r="M123" t="str">
        <f t="shared" si="31"/>
        <v>10110</v>
      </c>
      <c r="O123">
        <f t="shared" si="32"/>
        <v>30</v>
      </c>
      <c r="P123">
        <f t="shared" si="33"/>
        <v>55</v>
      </c>
      <c r="Q123">
        <f t="shared" si="34"/>
        <v>22</v>
      </c>
      <c r="S123">
        <f t="shared" si="38"/>
        <v>61440</v>
      </c>
      <c r="T123">
        <f t="shared" si="39"/>
        <v>1760</v>
      </c>
      <c r="U123">
        <f t="shared" si="40"/>
        <v>22</v>
      </c>
      <c r="V123">
        <f t="shared" si="41"/>
        <v>63222</v>
      </c>
      <c r="X123" t="str">
        <f t="shared" si="42"/>
        <v>#define WHEAT NEW_COLOR(30,55,22)</v>
      </c>
    </row>
    <row r="124" spans="1:24" ht="15.6" hidden="1" thickBot="1">
      <c r="A124" s="129"/>
      <c r="B124" s="25" t="s">
        <v>365</v>
      </c>
      <c r="C124" s="25" t="s">
        <v>249</v>
      </c>
      <c r="D124" s="30">
        <v>-255248220</v>
      </c>
      <c r="E124" s="262"/>
      <c r="F124" s="390"/>
      <c r="G124" t="str">
        <f t="shared" si="35"/>
        <v>11111111</v>
      </c>
      <c r="H124" t="str">
        <f t="shared" si="36"/>
        <v>11111000</v>
      </c>
      <c r="I124" t="str">
        <f t="shared" si="37"/>
        <v>11011100</v>
      </c>
      <c r="K124" t="str">
        <f t="shared" si="29"/>
        <v>11111</v>
      </c>
      <c r="L124" t="str">
        <f t="shared" si="30"/>
        <v>111110</v>
      </c>
      <c r="M124" t="str">
        <f t="shared" si="31"/>
        <v>11011</v>
      </c>
      <c r="O124">
        <f t="shared" si="32"/>
        <v>31</v>
      </c>
      <c r="P124">
        <f t="shared" si="33"/>
        <v>62</v>
      </c>
      <c r="Q124">
        <f t="shared" si="34"/>
        <v>27</v>
      </c>
      <c r="S124">
        <f t="shared" si="38"/>
        <v>63488</v>
      </c>
      <c r="T124">
        <f t="shared" si="39"/>
        <v>1984</v>
      </c>
      <c r="U124">
        <f t="shared" si="40"/>
        <v>27</v>
      </c>
      <c r="V124">
        <f t="shared" si="41"/>
        <v>65499</v>
      </c>
      <c r="X124" t="str">
        <f t="shared" si="42"/>
        <v>#define CORN_SILK NEW_COLOR(31,62,27)</v>
      </c>
    </row>
    <row r="125" spans="1:24" ht="15.6" hidden="1" thickBot="1">
      <c r="A125" s="130"/>
      <c r="B125" s="25" t="s">
        <v>366</v>
      </c>
      <c r="C125" s="25" t="s">
        <v>250</v>
      </c>
      <c r="D125" s="30">
        <v>-255250205</v>
      </c>
      <c r="E125" s="263"/>
      <c r="F125" s="391"/>
      <c r="G125" t="str">
        <f t="shared" si="35"/>
        <v>11111111</v>
      </c>
      <c r="H125" t="str">
        <f t="shared" si="36"/>
        <v>11111010</v>
      </c>
      <c r="I125" t="str">
        <f t="shared" si="37"/>
        <v>11001101</v>
      </c>
      <c r="K125" t="str">
        <f t="shared" si="29"/>
        <v>11111</v>
      </c>
      <c r="L125" t="str">
        <f t="shared" si="30"/>
        <v>111110</v>
      </c>
      <c r="M125" t="str">
        <f t="shared" si="31"/>
        <v>11001</v>
      </c>
      <c r="O125">
        <f t="shared" si="32"/>
        <v>31</v>
      </c>
      <c r="P125">
        <f t="shared" si="33"/>
        <v>62</v>
      </c>
      <c r="Q125">
        <f t="shared" si="34"/>
        <v>25</v>
      </c>
      <c r="S125">
        <f t="shared" si="38"/>
        <v>63488</v>
      </c>
      <c r="T125">
        <f t="shared" si="39"/>
        <v>1984</v>
      </c>
      <c r="U125">
        <f t="shared" si="40"/>
        <v>25</v>
      </c>
      <c r="V125">
        <f t="shared" si="41"/>
        <v>65497</v>
      </c>
      <c r="X125" t="str">
        <f t="shared" si="42"/>
        <v>#define LEMON_CHIFFON NEW_COLOR(31,62,25)</v>
      </c>
    </row>
    <row r="126" spans="1:24" ht="15.6" hidden="1" thickBot="1">
      <c r="A126" s="131"/>
      <c r="B126" s="25" t="s">
        <v>367</v>
      </c>
      <c r="C126" s="25" t="s">
        <v>251</v>
      </c>
      <c r="D126" s="30">
        <v>-250250210</v>
      </c>
      <c r="E126" s="264"/>
      <c r="F126" s="392"/>
      <c r="G126" t="str">
        <f t="shared" si="35"/>
        <v>11111010</v>
      </c>
      <c r="H126" t="str">
        <f t="shared" si="36"/>
        <v>11111010</v>
      </c>
      <c r="I126" t="str">
        <f t="shared" si="37"/>
        <v>11010010</v>
      </c>
      <c r="K126" t="str">
        <f t="shared" si="29"/>
        <v>11111</v>
      </c>
      <c r="L126" t="str">
        <f t="shared" si="30"/>
        <v>111110</v>
      </c>
      <c r="M126" t="str">
        <f t="shared" si="31"/>
        <v>11010</v>
      </c>
      <c r="O126">
        <f t="shared" si="32"/>
        <v>31</v>
      </c>
      <c r="P126">
        <f t="shared" si="33"/>
        <v>62</v>
      </c>
      <c r="Q126">
        <f t="shared" si="34"/>
        <v>26</v>
      </c>
      <c r="S126">
        <f t="shared" si="38"/>
        <v>63488</v>
      </c>
      <c r="T126">
        <f t="shared" si="39"/>
        <v>1984</v>
      </c>
      <c r="U126">
        <f t="shared" si="40"/>
        <v>26</v>
      </c>
      <c r="V126">
        <f t="shared" si="41"/>
        <v>65498</v>
      </c>
      <c r="X126" t="str">
        <f t="shared" si="42"/>
        <v>#define LIGHT_GOLDEN_ROD_YELLOW NEW_COLOR(31,62,26)</v>
      </c>
    </row>
    <row r="127" spans="1:24" ht="15.6" hidden="1" thickBot="1">
      <c r="A127" s="132"/>
      <c r="B127" s="25" t="s">
        <v>53</v>
      </c>
      <c r="C127" s="25" t="s">
        <v>252</v>
      </c>
      <c r="D127" s="30">
        <v>-255255224</v>
      </c>
      <c r="E127" s="265"/>
      <c r="F127" s="393"/>
      <c r="G127" t="str">
        <f t="shared" si="35"/>
        <v>11111111</v>
      </c>
      <c r="H127" t="str">
        <f t="shared" si="36"/>
        <v>11111111</v>
      </c>
      <c r="I127" t="str">
        <f t="shared" si="37"/>
        <v>11100000</v>
      </c>
      <c r="K127" t="str">
        <f t="shared" si="29"/>
        <v>11111</v>
      </c>
      <c r="L127" t="str">
        <f t="shared" si="30"/>
        <v>111111</v>
      </c>
      <c r="M127" t="str">
        <f t="shared" si="31"/>
        <v>11100</v>
      </c>
      <c r="O127">
        <f t="shared" si="32"/>
        <v>31</v>
      </c>
      <c r="P127">
        <f t="shared" si="33"/>
        <v>63</v>
      </c>
      <c r="Q127">
        <f t="shared" si="34"/>
        <v>28</v>
      </c>
      <c r="S127">
        <f t="shared" si="38"/>
        <v>63488</v>
      </c>
      <c r="T127">
        <f t="shared" si="39"/>
        <v>2016</v>
      </c>
      <c r="U127">
        <f t="shared" si="40"/>
        <v>28</v>
      </c>
      <c r="V127">
        <f t="shared" si="41"/>
        <v>65532</v>
      </c>
      <c r="X127" t="str">
        <f t="shared" si="42"/>
        <v>#define LIGHT_YELLOW NEW_COLOR(31,63,28)</v>
      </c>
    </row>
    <row r="128" spans="1:24" ht="15.6" hidden="1" thickBot="1">
      <c r="A128" s="133"/>
      <c r="B128" s="25" t="s">
        <v>368</v>
      </c>
      <c r="C128" s="25" t="s">
        <v>253</v>
      </c>
      <c r="D128" s="25" t="s">
        <v>254</v>
      </c>
      <c r="E128" s="266"/>
      <c r="F128" s="394"/>
      <c r="G128" t="str">
        <f t="shared" si="35"/>
        <v>10001011</v>
      </c>
      <c r="H128" t="str">
        <f t="shared" si="36"/>
        <v>01000101</v>
      </c>
      <c r="I128" t="str">
        <f t="shared" si="37"/>
        <v>00010011</v>
      </c>
      <c r="K128" t="str">
        <f t="shared" si="29"/>
        <v>10001</v>
      </c>
      <c r="L128" t="str">
        <f t="shared" si="30"/>
        <v>010001</v>
      </c>
      <c r="M128" t="str">
        <f t="shared" si="31"/>
        <v>00010</v>
      </c>
      <c r="O128">
        <f t="shared" si="32"/>
        <v>17</v>
      </c>
      <c r="P128">
        <f t="shared" si="33"/>
        <v>17</v>
      </c>
      <c r="Q128">
        <f t="shared" si="34"/>
        <v>2</v>
      </c>
      <c r="S128">
        <f t="shared" si="38"/>
        <v>34816</v>
      </c>
      <c r="T128">
        <f t="shared" si="39"/>
        <v>544</v>
      </c>
      <c r="U128">
        <f t="shared" si="40"/>
        <v>2</v>
      </c>
      <c r="V128">
        <f t="shared" si="41"/>
        <v>35362</v>
      </c>
      <c r="X128" t="str">
        <f t="shared" si="42"/>
        <v>#define SADDLE_BROWN NEW_COLOR(17,17,2)</v>
      </c>
    </row>
    <row r="129" spans="1:24" ht="15.6" hidden="1" thickBot="1">
      <c r="A129" s="134"/>
      <c r="B129" s="25" t="s">
        <v>255</v>
      </c>
      <c r="C129" s="25" t="s">
        <v>256</v>
      </c>
      <c r="D129" s="25" t="s">
        <v>257</v>
      </c>
      <c r="E129" s="267"/>
      <c r="F129" s="395"/>
      <c r="G129" t="str">
        <f t="shared" si="35"/>
        <v>10100000</v>
      </c>
      <c r="H129" t="str">
        <f t="shared" si="36"/>
        <v>01010010</v>
      </c>
      <c r="I129" t="str">
        <f t="shared" si="37"/>
        <v>00101101</v>
      </c>
      <c r="K129" t="str">
        <f t="shared" si="29"/>
        <v>10100</v>
      </c>
      <c r="L129" t="str">
        <f t="shared" si="30"/>
        <v>010100</v>
      </c>
      <c r="M129" t="str">
        <f t="shared" si="31"/>
        <v>00101</v>
      </c>
      <c r="O129">
        <f t="shared" si="32"/>
        <v>20</v>
      </c>
      <c r="P129">
        <f t="shared" si="33"/>
        <v>20</v>
      </c>
      <c r="Q129">
        <f t="shared" si="34"/>
        <v>5</v>
      </c>
      <c r="S129">
        <f t="shared" si="38"/>
        <v>40960</v>
      </c>
      <c r="T129">
        <f t="shared" si="39"/>
        <v>640</v>
      </c>
      <c r="U129">
        <f t="shared" si="40"/>
        <v>5</v>
      </c>
      <c r="V129">
        <f t="shared" si="41"/>
        <v>41605</v>
      </c>
      <c r="X129" t="str">
        <f t="shared" si="42"/>
        <v>#define SIENNA NEW_COLOR(20,20,5)</v>
      </c>
    </row>
    <row r="130" spans="1:24" ht="15.6" hidden="1" thickBot="1">
      <c r="A130" s="135"/>
      <c r="B130" s="25" t="s">
        <v>258</v>
      </c>
      <c r="C130" s="25" t="s">
        <v>259</v>
      </c>
      <c r="D130" s="25" t="s">
        <v>260</v>
      </c>
      <c r="E130" s="268"/>
      <c r="F130" s="396"/>
      <c r="G130" t="str">
        <f t="shared" si="35"/>
        <v>11010010</v>
      </c>
      <c r="H130" t="str">
        <f t="shared" si="36"/>
        <v>01101001</v>
      </c>
      <c r="I130" t="str">
        <f t="shared" si="37"/>
        <v>00011110</v>
      </c>
      <c r="K130" t="str">
        <f t="shared" si="29"/>
        <v>11010</v>
      </c>
      <c r="L130" t="str">
        <f t="shared" si="30"/>
        <v>011010</v>
      </c>
      <c r="M130" t="str">
        <f t="shared" si="31"/>
        <v>00011</v>
      </c>
      <c r="O130">
        <f t="shared" si="32"/>
        <v>26</v>
      </c>
      <c r="P130">
        <f t="shared" si="33"/>
        <v>26</v>
      </c>
      <c r="Q130">
        <f t="shared" si="34"/>
        <v>3</v>
      </c>
      <c r="S130">
        <f t="shared" si="38"/>
        <v>53248</v>
      </c>
      <c r="T130">
        <f t="shared" si="39"/>
        <v>832</v>
      </c>
      <c r="U130">
        <f t="shared" si="40"/>
        <v>3</v>
      </c>
      <c r="V130">
        <f t="shared" si="41"/>
        <v>54083</v>
      </c>
      <c r="X130" t="str">
        <f t="shared" si="42"/>
        <v>#define CHOCOLATE NEW_COLOR(26,26,3)</v>
      </c>
    </row>
    <row r="131" spans="1:24" ht="15.6" hidden="1" thickBot="1">
      <c r="A131" s="136"/>
      <c r="B131" s="25" t="s">
        <v>261</v>
      </c>
      <c r="C131" s="25" t="s">
        <v>262</v>
      </c>
      <c r="D131" s="25" t="s">
        <v>263</v>
      </c>
      <c r="E131" s="269"/>
      <c r="F131" s="397"/>
      <c r="G131" t="str">
        <f t="shared" si="35"/>
        <v>11001101</v>
      </c>
      <c r="H131" t="str">
        <f t="shared" si="36"/>
        <v>10000101</v>
      </c>
      <c r="I131" t="str">
        <f t="shared" si="37"/>
        <v>00111111</v>
      </c>
      <c r="K131" t="str">
        <f t="shared" si="29"/>
        <v>11001</v>
      </c>
      <c r="L131" t="str">
        <f t="shared" si="30"/>
        <v>100001</v>
      </c>
      <c r="M131" t="str">
        <f t="shared" si="31"/>
        <v>00111</v>
      </c>
      <c r="O131">
        <f t="shared" si="32"/>
        <v>25</v>
      </c>
      <c r="P131">
        <f t="shared" si="33"/>
        <v>33</v>
      </c>
      <c r="Q131">
        <f t="shared" si="34"/>
        <v>7</v>
      </c>
      <c r="S131">
        <f t="shared" si="38"/>
        <v>51200</v>
      </c>
      <c r="T131">
        <f t="shared" si="39"/>
        <v>1056</v>
      </c>
      <c r="U131">
        <f t="shared" si="40"/>
        <v>7</v>
      </c>
      <c r="V131">
        <f t="shared" si="41"/>
        <v>52263</v>
      </c>
      <c r="X131" t="str">
        <f t="shared" si="42"/>
        <v>#define PERU NEW_COLOR(25,33,7)</v>
      </c>
    </row>
    <row r="132" spans="1:24" ht="15.6" hidden="1" thickBot="1">
      <c r="A132" s="137"/>
      <c r="B132" s="25" t="s">
        <v>369</v>
      </c>
      <c r="C132" s="25" t="s">
        <v>264</v>
      </c>
      <c r="D132" s="25" t="s">
        <v>265</v>
      </c>
      <c r="E132" s="270"/>
      <c r="F132" s="398"/>
      <c r="G132" t="str">
        <f t="shared" si="35"/>
        <v>11110100</v>
      </c>
      <c r="H132" t="str">
        <f t="shared" si="36"/>
        <v>10100100</v>
      </c>
      <c r="I132" t="str">
        <f t="shared" si="37"/>
        <v>01100000</v>
      </c>
      <c r="K132" t="str">
        <f t="shared" si="29"/>
        <v>11110</v>
      </c>
      <c r="L132" t="str">
        <f t="shared" si="30"/>
        <v>101001</v>
      </c>
      <c r="M132" t="str">
        <f t="shared" si="31"/>
        <v>01100</v>
      </c>
      <c r="O132">
        <f t="shared" si="32"/>
        <v>30</v>
      </c>
      <c r="P132">
        <f t="shared" si="33"/>
        <v>41</v>
      </c>
      <c r="Q132">
        <f t="shared" si="34"/>
        <v>12</v>
      </c>
      <c r="S132">
        <f t="shared" si="38"/>
        <v>61440</v>
      </c>
      <c r="T132">
        <f t="shared" si="39"/>
        <v>1312</v>
      </c>
      <c r="U132">
        <f t="shared" si="40"/>
        <v>12</v>
      </c>
      <c r="V132">
        <f t="shared" si="41"/>
        <v>62764</v>
      </c>
      <c r="X132" t="str">
        <f t="shared" si="42"/>
        <v>#define SANDY_BROWN NEW_COLOR(30,41,12)</v>
      </c>
    </row>
    <row r="133" spans="1:24" ht="15.6" hidden="1" thickBot="1">
      <c r="A133" s="138"/>
      <c r="B133" s="25" t="s">
        <v>370</v>
      </c>
      <c r="C133" s="25" t="s">
        <v>266</v>
      </c>
      <c r="D133" s="30">
        <v>-222184135</v>
      </c>
      <c r="E133" s="271"/>
      <c r="F133" s="399"/>
      <c r="G133" t="str">
        <f t="shared" si="35"/>
        <v>11011110</v>
      </c>
      <c r="H133" t="str">
        <f t="shared" si="36"/>
        <v>10111000</v>
      </c>
      <c r="I133" t="str">
        <f t="shared" si="37"/>
        <v>10000111</v>
      </c>
      <c r="K133" t="str">
        <f t="shared" si="29"/>
        <v>11011</v>
      </c>
      <c r="L133" t="str">
        <f t="shared" si="30"/>
        <v>101110</v>
      </c>
      <c r="M133" t="str">
        <f t="shared" si="31"/>
        <v>10000</v>
      </c>
      <c r="O133">
        <f t="shared" si="32"/>
        <v>27</v>
      </c>
      <c r="P133">
        <f t="shared" si="33"/>
        <v>46</v>
      </c>
      <c r="Q133">
        <f t="shared" si="34"/>
        <v>16</v>
      </c>
      <c r="S133">
        <f t="shared" si="38"/>
        <v>55296</v>
      </c>
      <c r="T133">
        <f t="shared" si="39"/>
        <v>1472</v>
      </c>
      <c r="U133">
        <f t="shared" si="40"/>
        <v>16</v>
      </c>
      <c r="V133">
        <f t="shared" si="41"/>
        <v>56784</v>
      </c>
      <c r="X133" t="str">
        <f t="shared" si="42"/>
        <v>#define BURLY_WOOD NEW_COLOR(27,46,16)</v>
      </c>
    </row>
    <row r="134" spans="1:24" ht="15.6" hidden="1" thickBot="1">
      <c r="A134" s="139"/>
      <c r="B134" s="25" t="s">
        <v>58</v>
      </c>
      <c r="C134" s="25" t="s">
        <v>267</v>
      </c>
      <c r="D134" s="30">
        <v>-210180140</v>
      </c>
      <c r="E134" s="272"/>
      <c r="F134" s="400"/>
      <c r="G134" t="str">
        <f t="shared" si="35"/>
        <v>11010010</v>
      </c>
      <c r="H134" t="str">
        <f t="shared" si="36"/>
        <v>10110100</v>
      </c>
      <c r="I134" t="str">
        <f t="shared" si="37"/>
        <v>10001100</v>
      </c>
      <c r="K134" t="str">
        <f t="shared" si="29"/>
        <v>11010</v>
      </c>
      <c r="L134" t="str">
        <f t="shared" si="30"/>
        <v>101101</v>
      </c>
      <c r="M134" t="str">
        <f t="shared" si="31"/>
        <v>10001</v>
      </c>
      <c r="O134">
        <f t="shared" si="32"/>
        <v>26</v>
      </c>
      <c r="P134">
        <f t="shared" si="33"/>
        <v>45</v>
      </c>
      <c r="Q134">
        <f t="shared" si="34"/>
        <v>17</v>
      </c>
      <c r="S134">
        <f t="shared" si="38"/>
        <v>53248</v>
      </c>
      <c r="T134">
        <f t="shared" si="39"/>
        <v>1440</v>
      </c>
      <c r="U134">
        <f t="shared" si="40"/>
        <v>17</v>
      </c>
      <c r="V134">
        <f t="shared" si="41"/>
        <v>54705</v>
      </c>
      <c r="X134" t="str">
        <f t="shared" si="42"/>
        <v>#define TAN NEW_COLOR(26,45,17)</v>
      </c>
    </row>
    <row r="135" spans="1:24" ht="15.6" hidden="1" thickBot="1">
      <c r="A135" s="140"/>
      <c r="B135" s="25" t="s">
        <v>371</v>
      </c>
      <c r="C135" s="25" t="s">
        <v>268</v>
      </c>
      <c r="D135" s="30">
        <v>-188143143</v>
      </c>
      <c r="E135" s="273"/>
      <c r="F135" s="401"/>
      <c r="G135" t="str">
        <f t="shared" si="35"/>
        <v>10111100</v>
      </c>
      <c r="H135" t="str">
        <f t="shared" si="36"/>
        <v>10001111</v>
      </c>
      <c r="I135" t="str">
        <f t="shared" si="37"/>
        <v>10001111</v>
      </c>
      <c r="K135" t="str">
        <f t="shared" si="29"/>
        <v>10111</v>
      </c>
      <c r="L135" t="str">
        <f t="shared" si="30"/>
        <v>100011</v>
      </c>
      <c r="M135" t="str">
        <f t="shared" si="31"/>
        <v>10001</v>
      </c>
      <c r="O135">
        <f t="shared" si="32"/>
        <v>23</v>
      </c>
      <c r="P135">
        <f t="shared" si="33"/>
        <v>35</v>
      </c>
      <c r="Q135">
        <f t="shared" si="34"/>
        <v>17</v>
      </c>
      <c r="S135">
        <f t="shared" si="38"/>
        <v>47104</v>
      </c>
      <c r="T135">
        <f t="shared" si="39"/>
        <v>1120</v>
      </c>
      <c r="U135">
        <f t="shared" si="40"/>
        <v>17</v>
      </c>
      <c r="V135">
        <f t="shared" si="41"/>
        <v>48241</v>
      </c>
      <c r="X135" t="str">
        <f t="shared" si="42"/>
        <v>#define ROSY_BROWN NEW_COLOR(23,35,17)</v>
      </c>
    </row>
    <row r="136" spans="1:24" ht="15.6" hidden="1" thickBot="1">
      <c r="A136" s="141"/>
      <c r="B136" s="25" t="s">
        <v>269</v>
      </c>
      <c r="C136" s="25" t="s">
        <v>270</v>
      </c>
      <c r="D136" s="30">
        <v>-255228181</v>
      </c>
      <c r="E136" s="274"/>
      <c r="F136" s="402"/>
      <c r="G136" t="str">
        <f t="shared" si="35"/>
        <v>11111111</v>
      </c>
      <c r="H136" t="str">
        <f t="shared" si="36"/>
        <v>11100100</v>
      </c>
      <c r="I136" t="str">
        <f t="shared" si="37"/>
        <v>10110101</v>
      </c>
      <c r="K136" t="str">
        <f t="shared" ref="K136:K165" si="43">LEFT(G136,5)</f>
        <v>11111</v>
      </c>
      <c r="L136" t="str">
        <f t="shared" ref="L136:L165" si="44">LEFT(H136,6)</f>
        <v>111001</v>
      </c>
      <c r="M136" t="str">
        <f t="shared" ref="M136:M165" si="45">LEFT(I136,5)</f>
        <v>10110</v>
      </c>
      <c r="O136">
        <f t="shared" ref="O136:O165" si="46">BIN2DEC(K136)</f>
        <v>31</v>
      </c>
      <c r="P136">
        <f t="shared" ref="P136:P165" si="47">BIN2DEC(L136)</f>
        <v>57</v>
      </c>
      <c r="Q136">
        <f t="shared" ref="Q136:Q165" si="48">BIN2DEC(M136)</f>
        <v>22</v>
      </c>
      <c r="S136">
        <f t="shared" si="38"/>
        <v>63488</v>
      </c>
      <c r="T136">
        <f t="shared" si="39"/>
        <v>1824</v>
      </c>
      <c r="U136">
        <f t="shared" si="40"/>
        <v>22</v>
      </c>
      <c r="V136">
        <f t="shared" si="41"/>
        <v>65334</v>
      </c>
      <c r="X136" t="str">
        <f t="shared" si="42"/>
        <v>#define MOCCASIN NEW_COLOR(31,57,22)</v>
      </c>
    </row>
    <row r="137" spans="1:24" ht="15.6" hidden="1" thickBot="1">
      <c r="A137" s="142"/>
      <c r="B137" s="25" t="s">
        <v>372</v>
      </c>
      <c r="C137" s="25" t="s">
        <v>271</v>
      </c>
      <c r="D137" s="30">
        <v>-255222173</v>
      </c>
      <c r="E137" s="275"/>
      <c r="F137" s="403"/>
      <c r="G137" t="str">
        <f t="shared" si="35"/>
        <v>11111111</v>
      </c>
      <c r="H137" t="str">
        <f t="shared" si="36"/>
        <v>11011110</v>
      </c>
      <c r="I137" t="str">
        <f t="shared" si="37"/>
        <v>10101101</v>
      </c>
      <c r="K137" t="str">
        <f t="shared" si="43"/>
        <v>11111</v>
      </c>
      <c r="L137" t="str">
        <f t="shared" si="44"/>
        <v>110111</v>
      </c>
      <c r="M137" t="str">
        <f t="shared" si="45"/>
        <v>10101</v>
      </c>
      <c r="O137">
        <f t="shared" si="46"/>
        <v>31</v>
      </c>
      <c r="P137">
        <f t="shared" si="47"/>
        <v>55</v>
      </c>
      <c r="Q137">
        <f t="shared" si="48"/>
        <v>21</v>
      </c>
      <c r="S137">
        <f t="shared" si="38"/>
        <v>63488</v>
      </c>
      <c r="T137">
        <f t="shared" si="39"/>
        <v>1760</v>
      </c>
      <c r="U137">
        <f t="shared" si="40"/>
        <v>21</v>
      </c>
      <c r="V137">
        <f t="shared" si="41"/>
        <v>65269</v>
      </c>
      <c r="X137" t="str">
        <f t="shared" si="42"/>
        <v>#define NAVAJO_WHITE NEW_COLOR(31,55,21)</v>
      </c>
    </row>
    <row r="138" spans="1:24" ht="15.6" hidden="1" thickBot="1">
      <c r="A138" s="143"/>
      <c r="B138" s="25" t="s">
        <v>373</v>
      </c>
      <c r="C138" s="25" t="s">
        <v>272</v>
      </c>
      <c r="D138" s="30">
        <v>-255218185</v>
      </c>
      <c r="E138" s="276"/>
      <c r="F138" s="404"/>
      <c r="G138" t="str">
        <f t="shared" si="35"/>
        <v>11111111</v>
      </c>
      <c r="H138" t="str">
        <f t="shared" si="36"/>
        <v>11011010</v>
      </c>
      <c r="I138" t="str">
        <f t="shared" si="37"/>
        <v>10111001</v>
      </c>
      <c r="K138" t="str">
        <f t="shared" si="43"/>
        <v>11111</v>
      </c>
      <c r="L138" t="str">
        <f t="shared" si="44"/>
        <v>110110</v>
      </c>
      <c r="M138" t="str">
        <f t="shared" si="45"/>
        <v>10111</v>
      </c>
      <c r="O138">
        <f t="shared" si="46"/>
        <v>31</v>
      </c>
      <c r="P138">
        <f t="shared" si="47"/>
        <v>54</v>
      </c>
      <c r="Q138">
        <f t="shared" si="48"/>
        <v>23</v>
      </c>
      <c r="S138">
        <f t="shared" si="38"/>
        <v>63488</v>
      </c>
      <c r="T138">
        <f t="shared" si="39"/>
        <v>1728</v>
      </c>
      <c r="U138">
        <f t="shared" si="40"/>
        <v>23</v>
      </c>
      <c r="V138">
        <f t="shared" si="41"/>
        <v>65239</v>
      </c>
      <c r="X138" t="str">
        <f t="shared" si="42"/>
        <v>#define PEACH_PUFF NEW_COLOR(31,54,23)</v>
      </c>
    </row>
    <row r="139" spans="1:24" ht="15.6" hidden="1" thickBot="1">
      <c r="A139" s="144"/>
      <c r="B139" s="25" t="s">
        <v>374</v>
      </c>
      <c r="C139" s="25" t="s">
        <v>273</v>
      </c>
      <c r="D139" s="30">
        <v>-255228225</v>
      </c>
      <c r="E139" s="277"/>
      <c r="F139" s="405"/>
      <c r="G139" t="str">
        <f t="shared" si="35"/>
        <v>11111111</v>
      </c>
      <c r="H139" t="str">
        <f t="shared" si="36"/>
        <v>11100100</v>
      </c>
      <c r="I139" t="str">
        <f t="shared" si="37"/>
        <v>11100001</v>
      </c>
      <c r="K139" t="str">
        <f t="shared" si="43"/>
        <v>11111</v>
      </c>
      <c r="L139" t="str">
        <f t="shared" si="44"/>
        <v>111001</v>
      </c>
      <c r="M139" t="str">
        <f t="shared" si="45"/>
        <v>11100</v>
      </c>
      <c r="O139">
        <f t="shared" si="46"/>
        <v>31</v>
      </c>
      <c r="P139">
        <f t="shared" si="47"/>
        <v>57</v>
      </c>
      <c r="Q139">
        <f t="shared" si="48"/>
        <v>28</v>
      </c>
      <c r="S139">
        <f t="shared" si="38"/>
        <v>63488</v>
      </c>
      <c r="T139">
        <f t="shared" si="39"/>
        <v>1824</v>
      </c>
      <c r="U139">
        <f t="shared" si="40"/>
        <v>28</v>
      </c>
      <c r="V139">
        <f t="shared" si="41"/>
        <v>65340</v>
      </c>
      <c r="X139" t="str">
        <f t="shared" si="42"/>
        <v>#define MISTY_ROSE NEW_COLOR(31,57,28)</v>
      </c>
    </row>
    <row r="140" spans="1:24" ht="15.6" hidden="1" thickBot="1">
      <c r="A140" s="145"/>
      <c r="B140" s="25" t="s">
        <v>375</v>
      </c>
      <c r="C140" s="25" t="s">
        <v>274</v>
      </c>
      <c r="D140" s="30">
        <v>-255240245</v>
      </c>
      <c r="E140" s="278"/>
      <c r="F140" s="406"/>
      <c r="G140" t="str">
        <f t="shared" si="35"/>
        <v>11111111</v>
      </c>
      <c r="H140" t="str">
        <f t="shared" si="36"/>
        <v>11110000</v>
      </c>
      <c r="I140" t="str">
        <f t="shared" si="37"/>
        <v>11110101</v>
      </c>
      <c r="K140" t="str">
        <f t="shared" si="43"/>
        <v>11111</v>
      </c>
      <c r="L140" t="str">
        <f t="shared" si="44"/>
        <v>111100</v>
      </c>
      <c r="M140" t="str">
        <f t="shared" si="45"/>
        <v>11110</v>
      </c>
      <c r="O140">
        <f t="shared" si="46"/>
        <v>31</v>
      </c>
      <c r="P140">
        <f t="shared" si="47"/>
        <v>60</v>
      </c>
      <c r="Q140">
        <f t="shared" si="48"/>
        <v>30</v>
      </c>
      <c r="S140">
        <f t="shared" si="38"/>
        <v>63488</v>
      </c>
      <c r="T140">
        <f t="shared" si="39"/>
        <v>1920</v>
      </c>
      <c r="U140">
        <f t="shared" si="40"/>
        <v>30</v>
      </c>
      <c r="V140">
        <f t="shared" si="41"/>
        <v>65438</v>
      </c>
      <c r="X140" t="str">
        <f t="shared" si="42"/>
        <v>#define LAVENDER_BLUSH NEW_COLOR(31,60,30)</v>
      </c>
    </row>
    <row r="141" spans="1:24" ht="15.6" hidden="1" thickBot="1">
      <c r="A141" s="146"/>
      <c r="B141" s="25" t="s">
        <v>275</v>
      </c>
      <c r="C141" s="25" t="s">
        <v>276</v>
      </c>
      <c r="D141" s="30">
        <v>-250240230</v>
      </c>
      <c r="E141" s="279"/>
      <c r="F141" s="407"/>
      <c r="G141" t="str">
        <f t="shared" si="35"/>
        <v>11111010</v>
      </c>
      <c r="H141" t="str">
        <f t="shared" si="36"/>
        <v>11110000</v>
      </c>
      <c r="I141" t="str">
        <f t="shared" si="37"/>
        <v>11100110</v>
      </c>
      <c r="K141" t="str">
        <f t="shared" si="43"/>
        <v>11111</v>
      </c>
      <c r="L141" t="str">
        <f t="shared" si="44"/>
        <v>111100</v>
      </c>
      <c r="M141" t="str">
        <f t="shared" si="45"/>
        <v>11100</v>
      </c>
      <c r="O141">
        <f t="shared" si="46"/>
        <v>31</v>
      </c>
      <c r="P141">
        <f t="shared" si="47"/>
        <v>60</v>
      </c>
      <c r="Q141">
        <f t="shared" si="48"/>
        <v>28</v>
      </c>
      <c r="S141">
        <f t="shared" si="38"/>
        <v>63488</v>
      </c>
      <c r="T141">
        <f t="shared" si="39"/>
        <v>1920</v>
      </c>
      <c r="U141">
        <f t="shared" si="40"/>
        <v>28</v>
      </c>
      <c r="V141">
        <f t="shared" si="41"/>
        <v>65436</v>
      </c>
      <c r="X141" t="str">
        <f t="shared" si="42"/>
        <v>#define LINEN NEW_COLOR(31,60,28)</v>
      </c>
    </row>
    <row r="142" spans="1:24" ht="15.6" hidden="1" thickBot="1">
      <c r="A142" s="147"/>
      <c r="B142" s="25" t="s">
        <v>376</v>
      </c>
      <c r="C142" s="25" t="s">
        <v>277</v>
      </c>
      <c r="D142" s="30">
        <v>-253245230</v>
      </c>
      <c r="E142" s="280"/>
      <c r="F142" s="408"/>
      <c r="G142" t="str">
        <f t="shared" si="35"/>
        <v>11111101</v>
      </c>
      <c r="H142" t="str">
        <f t="shared" si="36"/>
        <v>11110101</v>
      </c>
      <c r="I142" t="str">
        <f t="shared" si="37"/>
        <v>11100110</v>
      </c>
      <c r="K142" t="str">
        <f t="shared" si="43"/>
        <v>11111</v>
      </c>
      <c r="L142" t="str">
        <f t="shared" si="44"/>
        <v>111101</v>
      </c>
      <c r="M142" t="str">
        <f t="shared" si="45"/>
        <v>11100</v>
      </c>
      <c r="O142">
        <f t="shared" si="46"/>
        <v>31</v>
      </c>
      <c r="P142">
        <f t="shared" si="47"/>
        <v>61</v>
      </c>
      <c r="Q142">
        <f t="shared" si="48"/>
        <v>28</v>
      </c>
      <c r="S142">
        <f t="shared" si="38"/>
        <v>63488</v>
      </c>
      <c r="T142">
        <f t="shared" si="39"/>
        <v>1952</v>
      </c>
      <c r="U142">
        <f t="shared" si="40"/>
        <v>28</v>
      </c>
      <c r="V142">
        <f t="shared" si="41"/>
        <v>65468</v>
      </c>
      <c r="X142" t="str">
        <f t="shared" si="42"/>
        <v>#define OLD_LACE NEW_COLOR(31,61,28)</v>
      </c>
    </row>
    <row r="143" spans="1:24" ht="15.6" hidden="1" thickBot="1">
      <c r="A143" s="148"/>
      <c r="B143" s="25" t="s">
        <v>377</v>
      </c>
      <c r="C143" s="25" t="s">
        <v>278</v>
      </c>
      <c r="D143" s="30">
        <v>-255239213</v>
      </c>
      <c r="E143" s="281"/>
      <c r="F143" s="409"/>
      <c r="G143" t="str">
        <f t="shared" si="35"/>
        <v>11111111</v>
      </c>
      <c r="H143" t="str">
        <f t="shared" si="36"/>
        <v>11101111</v>
      </c>
      <c r="I143" t="str">
        <f t="shared" si="37"/>
        <v>11010101</v>
      </c>
      <c r="K143" t="str">
        <f t="shared" si="43"/>
        <v>11111</v>
      </c>
      <c r="L143" t="str">
        <f t="shared" si="44"/>
        <v>111011</v>
      </c>
      <c r="M143" t="str">
        <f t="shared" si="45"/>
        <v>11010</v>
      </c>
      <c r="O143">
        <f t="shared" si="46"/>
        <v>31</v>
      </c>
      <c r="P143">
        <f t="shared" si="47"/>
        <v>59</v>
      </c>
      <c r="Q143">
        <f t="shared" si="48"/>
        <v>26</v>
      </c>
      <c r="S143">
        <f t="shared" si="38"/>
        <v>63488</v>
      </c>
      <c r="T143">
        <f t="shared" si="39"/>
        <v>1888</v>
      </c>
      <c r="U143">
        <f t="shared" si="40"/>
        <v>26</v>
      </c>
      <c r="V143">
        <f t="shared" si="41"/>
        <v>65402</v>
      </c>
      <c r="X143" t="str">
        <f t="shared" si="42"/>
        <v>#define PAPAYA_WHIP NEW_COLOR(31,59,26)</v>
      </c>
    </row>
    <row r="144" spans="1:24" ht="15.6" hidden="1" thickBot="1">
      <c r="A144" s="149"/>
      <c r="B144" s="25" t="s">
        <v>378</v>
      </c>
      <c r="C144" s="25" t="s">
        <v>279</v>
      </c>
      <c r="D144" s="30">
        <v>-255245238</v>
      </c>
      <c r="E144" s="282"/>
      <c r="F144" s="410"/>
      <c r="G144" t="str">
        <f t="shared" si="35"/>
        <v>11111111</v>
      </c>
      <c r="H144" t="str">
        <f t="shared" si="36"/>
        <v>11110101</v>
      </c>
      <c r="I144" t="str">
        <f t="shared" si="37"/>
        <v>11101110</v>
      </c>
      <c r="K144" t="str">
        <f t="shared" si="43"/>
        <v>11111</v>
      </c>
      <c r="L144" t="str">
        <f t="shared" si="44"/>
        <v>111101</v>
      </c>
      <c r="M144" t="str">
        <f t="shared" si="45"/>
        <v>11101</v>
      </c>
      <c r="O144">
        <f t="shared" si="46"/>
        <v>31</v>
      </c>
      <c r="P144">
        <f t="shared" si="47"/>
        <v>61</v>
      </c>
      <c r="Q144">
        <f t="shared" si="48"/>
        <v>29</v>
      </c>
      <c r="S144">
        <f t="shared" si="38"/>
        <v>63488</v>
      </c>
      <c r="T144">
        <f t="shared" si="39"/>
        <v>1952</v>
      </c>
      <c r="U144">
        <f t="shared" si="40"/>
        <v>29</v>
      </c>
      <c r="V144">
        <f t="shared" si="41"/>
        <v>65469</v>
      </c>
      <c r="X144" t="str">
        <f t="shared" si="42"/>
        <v>#define SEA_SHELL NEW_COLOR(31,61,29)</v>
      </c>
    </row>
    <row r="145" spans="1:24" ht="15.6" hidden="1" thickBot="1">
      <c r="A145" s="150"/>
      <c r="B145" s="25" t="s">
        <v>379</v>
      </c>
      <c r="C145" s="25" t="s">
        <v>280</v>
      </c>
      <c r="D145" s="30">
        <v>-245255250</v>
      </c>
      <c r="E145" s="283"/>
      <c r="F145" s="411"/>
      <c r="G145" t="str">
        <f t="shared" si="35"/>
        <v>11110101</v>
      </c>
      <c r="H145" t="str">
        <f t="shared" si="36"/>
        <v>11111111</v>
      </c>
      <c r="I145" t="str">
        <f t="shared" si="37"/>
        <v>11111010</v>
      </c>
      <c r="K145" t="str">
        <f t="shared" si="43"/>
        <v>11110</v>
      </c>
      <c r="L145" t="str">
        <f t="shared" si="44"/>
        <v>111111</v>
      </c>
      <c r="M145" t="str">
        <f t="shared" si="45"/>
        <v>11111</v>
      </c>
      <c r="O145">
        <f t="shared" si="46"/>
        <v>30</v>
      </c>
      <c r="P145">
        <f t="shared" si="47"/>
        <v>63</v>
      </c>
      <c r="Q145">
        <f t="shared" si="48"/>
        <v>31</v>
      </c>
      <c r="S145">
        <f t="shared" si="38"/>
        <v>61440</v>
      </c>
      <c r="T145">
        <f t="shared" si="39"/>
        <v>2016</v>
      </c>
      <c r="U145">
        <f t="shared" si="40"/>
        <v>31</v>
      </c>
      <c r="V145">
        <f t="shared" si="41"/>
        <v>63487</v>
      </c>
      <c r="X145" t="str">
        <f t="shared" si="42"/>
        <v>#define MINT_CREAM NEW_COLOR(30,63,31)</v>
      </c>
    </row>
    <row r="146" spans="1:24" ht="15.6" hidden="1" thickBot="1">
      <c r="A146" s="160"/>
      <c r="B146" s="25" t="s">
        <v>293</v>
      </c>
      <c r="C146" s="25" t="s">
        <v>294</v>
      </c>
      <c r="D146" s="30">
        <v>-240255255</v>
      </c>
      <c r="E146" s="284"/>
      <c r="F146" s="411"/>
      <c r="G146" t="str">
        <f>HEX2BIN(MID($C146,2,2),8)</f>
        <v>11110000</v>
      </c>
      <c r="H146" t="str">
        <f>HEX2BIN(MID($C146,4,2),8)</f>
        <v>11111111</v>
      </c>
      <c r="I146" t="str">
        <f>HEX2BIN(MID($C146,6,2),8)</f>
        <v>11111111</v>
      </c>
      <c r="K146" t="str">
        <f>LEFT(G146,5)</f>
        <v>11110</v>
      </c>
      <c r="L146" t="str">
        <f>LEFT(H146,6)</f>
        <v>111111</v>
      </c>
      <c r="M146" t="str">
        <f>LEFT(I146,5)</f>
        <v>11111</v>
      </c>
      <c r="O146">
        <f>BIN2DEC(K146)</f>
        <v>30</v>
      </c>
      <c r="P146">
        <f>BIN2DEC(L146)</f>
        <v>63</v>
      </c>
      <c r="Q146">
        <f>BIN2DEC(M146)</f>
        <v>31</v>
      </c>
      <c r="S146">
        <f>O146*2048</f>
        <v>61440</v>
      </c>
      <c r="T146">
        <f>P146*32</f>
        <v>2016</v>
      </c>
      <c r="U146">
        <f>Q146</f>
        <v>31</v>
      </c>
      <c r="V146">
        <f>S146+T146+U146</f>
        <v>63487</v>
      </c>
      <c r="X146" t="str">
        <f t="shared" si="42"/>
        <v>#define AZURE NEW_COLOR(30,63,31)</v>
      </c>
    </row>
    <row r="147" spans="1:24" ht="15.6" hidden="1" thickBot="1">
      <c r="A147" s="151"/>
      <c r="B147" s="25" t="s">
        <v>380</v>
      </c>
      <c r="C147" s="25" t="s">
        <v>281</v>
      </c>
      <c r="D147" s="30">
        <v>-112128144</v>
      </c>
      <c r="E147" s="285"/>
      <c r="F147" s="285"/>
      <c r="G147" t="str">
        <f t="shared" si="35"/>
        <v>01110000</v>
      </c>
      <c r="H147" t="str">
        <f t="shared" si="36"/>
        <v>10000000</v>
      </c>
      <c r="I147" t="str">
        <f t="shared" si="37"/>
        <v>10010000</v>
      </c>
      <c r="K147" t="str">
        <f t="shared" si="43"/>
        <v>01110</v>
      </c>
      <c r="L147" t="str">
        <f t="shared" si="44"/>
        <v>100000</v>
      </c>
      <c r="M147" t="str">
        <f t="shared" si="45"/>
        <v>10010</v>
      </c>
      <c r="O147">
        <f t="shared" si="46"/>
        <v>14</v>
      </c>
      <c r="P147">
        <f t="shared" si="47"/>
        <v>32</v>
      </c>
      <c r="Q147">
        <f t="shared" si="48"/>
        <v>18</v>
      </c>
      <c r="S147">
        <f t="shared" si="38"/>
        <v>28672</v>
      </c>
      <c r="T147">
        <f t="shared" si="39"/>
        <v>1024</v>
      </c>
      <c r="U147">
        <f t="shared" si="40"/>
        <v>18</v>
      </c>
      <c r="V147">
        <f t="shared" si="41"/>
        <v>29714</v>
      </c>
      <c r="X147" t="str">
        <f t="shared" si="42"/>
        <v>#define SLATE_GRAY NEW_COLOR(14,32,18)</v>
      </c>
    </row>
    <row r="148" spans="1:24" ht="15.6" hidden="1" thickBot="1">
      <c r="A148" s="152"/>
      <c r="B148" s="25" t="s">
        <v>381</v>
      </c>
      <c r="C148" s="25" t="s">
        <v>282</v>
      </c>
      <c r="D148" s="30">
        <v>-119136153</v>
      </c>
      <c r="E148" s="286"/>
      <c r="F148" s="412"/>
      <c r="G148" t="str">
        <f t="shared" si="35"/>
        <v>01110111</v>
      </c>
      <c r="H148" t="str">
        <f t="shared" si="36"/>
        <v>10001000</v>
      </c>
      <c r="I148" t="str">
        <f t="shared" si="37"/>
        <v>10011001</v>
      </c>
      <c r="K148" t="str">
        <f t="shared" si="43"/>
        <v>01110</v>
      </c>
      <c r="L148" t="str">
        <f t="shared" si="44"/>
        <v>100010</v>
      </c>
      <c r="M148" t="str">
        <f t="shared" si="45"/>
        <v>10011</v>
      </c>
      <c r="O148">
        <f t="shared" si="46"/>
        <v>14</v>
      </c>
      <c r="P148">
        <f t="shared" si="47"/>
        <v>34</v>
      </c>
      <c r="Q148">
        <f t="shared" si="48"/>
        <v>19</v>
      </c>
      <c r="S148">
        <f t="shared" si="38"/>
        <v>28672</v>
      </c>
      <c r="T148">
        <f t="shared" si="39"/>
        <v>1088</v>
      </c>
      <c r="U148">
        <f t="shared" si="40"/>
        <v>19</v>
      </c>
      <c r="V148">
        <f t="shared" si="41"/>
        <v>29779</v>
      </c>
      <c r="X148" t="str">
        <f t="shared" si="42"/>
        <v>#define LIGHT_SLATE_GRAY NEW_COLOR(14,34,19)</v>
      </c>
    </row>
    <row r="149" spans="1:24" ht="15.6" hidden="1" thickBot="1">
      <c r="A149" s="153"/>
      <c r="B149" s="25" t="s">
        <v>382</v>
      </c>
      <c r="C149" s="25" t="s">
        <v>283</v>
      </c>
      <c r="D149" s="30">
        <v>-176196222</v>
      </c>
      <c r="E149" s="287"/>
      <c r="F149" s="413"/>
      <c r="G149" t="str">
        <f t="shared" si="35"/>
        <v>10110000</v>
      </c>
      <c r="H149" t="str">
        <f t="shared" si="36"/>
        <v>11000100</v>
      </c>
      <c r="I149" t="str">
        <f t="shared" si="37"/>
        <v>11011110</v>
      </c>
      <c r="K149" t="str">
        <f t="shared" si="43"/>
        <v>10110</v>
      </c>
      <c r="L149" t="str">
        <f t="shared" si="44"/>
        <v>110001</v>
      </c>
      <c r="M149" t="str">
        <f t="shared" si="45"/>
        <v>11011</v>
      </c>
      <c r="O149">
        <f t="shared" si="46"/>
        <v>22</v>
      </c>
      <c r="P149">
        <f t="shared" si="47"/>
        <v>49</v>
      </c>
      <c r="Q149">
        <f t="shared" si="48"/>
        <v>27</v>
      </c>
      <c r="S149">
        <f t="shared" si="38"/>
        <v>45056</v>
      </c>
      <c r="T149">
        <f t="shared" si="39"/>
        <v>1568</v>
      </c>
      <c r="U149">
        <f t="shared" si="40"/>
        <v>27</v>
      </c>
      <c r="V149">
        <f t="shared" si="41"/>
        <v>46651</v>
      </c>
      <c r="X149" t="str">
        <f t="shared" si="42"/>
        <v>#define LIGHT_STEEL_BLUE NEW_COLOR(22,49,27)</v>
      </c>
    </row>
    <row r="150" spans="1:24" ht="15.6" hidden="1" thickBot="1">
      <c r="A150" s="154"/>
      <c r="B150" s="25" t="s">
        <v>284</v>
      </c>
      <c r="C150" s="25" t="s">
        <v>285</v>
      </c>
      <c r="D150" s="30">
        <v>-230230250</v>
      </c>
      <c r="E150" s="288"/>
      <c r="F150" s="414"/>
      <c r="G150" t="str">
        <f t="shared" si="35"/>
        <v>11100110</v>
      </c>
      <c r="H150" t="str">
        <f t="shared" si="36"/>
        <v>11100110</v>
      </c>
      <c r="I150" t="str">
        <f t="shared" si="37"/>
        <v>11111010</v>
      </c>
      <c r="K150" t="str">
        <f t="shared" si="43"/>
        <v>11100</v>
      </c>
      <c r="L150" t="str">
        <f t="shared" si="44"/>
        <v>111001</v>
      </c>
      <c r="M150" t="str">
        <f t="shared" si="45"/>
        <v>11111</v>
      </c>
      <c r="O150">
        <f t="shared" si="46"/>
        <v>28</v>
      </c>
      <c r="P150">
        <f t="shared" si="47"/>
        <v>57</v>
      </c>
      <c r="Q150">
        <f t="shared" si="48"/>
        <v>31</v>
      </c>
      <c r="S150">
        <f t="shared" si="38"/>
        <v>57344</v>
      </c>
      <c r="T150">
        <f t="shared" si="39"/>
        <v>1824</v>
      </c>
      <c r="U150">
        <f t="shared" si="40"/>
        <v>31</v>
      </c>
      <c r="V150">
        <f t="shared" si="41"/>
        <v>59199</v>
      </c>
      <c r="X150" t="str">
        <f t="shared" si="42"/>
        <v>#define LAVENDER NEW_COLOR(28,57,31)</v>
      </c>
    </row>
    <row r="151" spans="1:24" ht="15.6" hidden="1" thickBot="1">
      <c r="A151" s="155"/>
      <c r="B151" s="25" t="s">
        <v>383</v>
      </c>
      <c r="C151" s="25" t="s">
        <v>286</v>
      </c>
      <c r="D151" s="30">
        <v>-255250240</v>
      </c>
      <c r="E151" s="289"/>
      <c r="F151" s="415"/>
      <c r="G151" t="str">
        <f t="shared" si="35"/>
        <v>11111111</v>
      </c>
      <c r="H151" t="str">
        <f t="shared" si="36"/>
        <v>11111010</v>
      </c>
      <c r="I151" t="str">
        <f t="shared" si="37"/>
        <v>11110000</v>
      </c>
      <c r="K151" t="str">
        <f t="shared" si="43"/>
        <v>11111</v>
      </c>
      <c r="L151" t="str">
        <f t="shared" si="44"/>
        <v>111110</v>
      </c>
      <c r="M151" t="str">
        <f t="shared" si="45"/>
        <v>11110</v>
      </c>
      <c r="O151">
        <f t="shared" si="46"/>
        <v>31</v>
      </c>
      <c r="P151">
        <f t="shared" si="47"/>
        <v>62</v>
      </c>
      <c r="Q151">
        <f t="shared" si="48"/>
        <v>30</v>
      </c>
      <c r="S151">
        <f t="shared" si="38"/>
        <v>63488</v>
      </c>
      <c r="T151">
        <f t="shared" si="39"/>
        <v>1984</v>
      </c>
      <c r="U151">
        <f t="shared" si="40"/>
        <v>30</v>
      </c>
      <c r="V151">
        <f t="shared" si="41"/>
        <v>65502</v>
      </c>
      <c r="X151" t="str">
        <f t="shared" si="42"/>
        <v>#define FLORAL_WHITE NEW_COLOR(31,62,30)</v>
      </c>
    </row>
    <row r="152" spans="1:24" ht="15.6" hidden="1" thickBot="1">
      <c r="A152" s="156"/>
      <c r="B152" s="25" t="s">
        <v>384</v>
      </c>
      <c r="C152" s="25" t="s">
        <v>287</v>
      </c>
      <c r="D152" s="30">
        <v>-240248255</v>
      </c>
      <c r="E152" s="290"/>
      <c r="F152" s="416"/>
      <c r="G152" t="str">
        <f t="shared" si="35"/>
        <v>11110000</v>
      </c>
      <c r="H152" t="str">
        <f t="shared" si="36"/>
        <v>11111000</v>
      </c>
      <c r="I152" t="str">
        <f t="shared" si="37"/>
        <v>11111111</v>
      </c>
      <c r="K152" t="str">
        <f t="shared" si="43"/>
        <v>11110</v>
      </c>
      <c r="L152" t="str">
        <f t="shared" si="44"/>
        <v>111110</v>
      </c>
      <c r="M152" t="str">
        <f t="shared" si="45"/>
        <v>11111</v>
      </c>
      <c r="O152">
        <f t="shared" si="46"/>
        <v>30</v>
      </c>
      <c r="P152">
        <f t="shared" si="47"/>
        <v>62</v>
      </c>
      <c r="Q152">
        <f t="shared" si="48"/>
        <v>31</v>
      </c>
      <c r="S152">
        <f t="shared" si="38"/>
        <v>61440</v>
      </c>
      <c r="T152">
        <f t="shared" si="39"/>
        <v>1984</v>
      </c>
      <c r="U152">
        <f t="shared" si="40"/>
        <v>31</v>
      </c>
      <c r="V152">
        <f t="shared" si="41"/>
        <v>63455</v>
      </c>
      <c r="X152" t="str">
        <f t="shared" si="42"/>
        <v>#define ALICE_BLUE NEW_COLOR(30,62,31)</v>
      </c>
    </row>
    <row r="153" spans="1:24" ht="15.6" hidden="1" thickBot="1">
      <c r="A153" s="157"/>
      <c r="B153" s="25" t="s">
        <v>385</v>
      </c>
      <c r="C153" s="25" t="s">
        <v>288</v>
      </c>
      <c r="D153" s="30">
        <v>-248248255</v>
      </c>
      <c r="E153" s="291"/>
      <c r="F153" s="417"/>
      <c r="G153" t="str">
        <f t="shared" si="35"/>
        <v>11111000</v>
      </c>
      <c r="H153" t="str">
        <f t="shared" si="36"/>
        <v>11111000</v>
      </c>
      <c r="I153" t="str">
        <f t="shared" si="37"/>
        <v>11111111</v>
      </c>
      <c r="K153" t="str">
        <f t="shared" si="43"/>
        <v>11111</v>
      </c>
      <c r="L153" t="str">
        <f t="shared" si="44"/>
        <v>111110</v>
      </c>
      <c r="M153" t="str">
        <f t="shared" si="45"/>
        <v>11111</v>
      </c>
      <c r="O153">
        <f t="shared" si="46"/>
        <v>31</v>
      </c>
      <c r="P153">
        <f t="shared" si="47"/>
        <v>62</v>
      </c>
      <c r="Q153">
        <f t="shared" si="48"/>
        <v>31</v>
      </c>
      <c r="S153">
        <f t="shared" si="38"/>
        <v>63488</v>
      </c>
      <c r="T153">
        <f t="shared" si="39"/>
        <v>1984</v>
      </c>
      <c r="U153">
        <f t="shared" si="40"/>
        <v>31</v>
      </c>
      <c r="V153">
        <f t="shared" si="41"/>
        <v>65503</v>
      </c>
      <c r="X153" t="str">
        <f t="shared" si="42"/>
        <v>#define GHOST_WHITE NEW_COLOR(31,62,31)</v>
      </c>
    </row>
    <row r="154" spans="1:24" ht="15.6" hidden="1" thickBot="1">
      <c r="A154" s="161"/>
      <c r="B154" s="25" t="s">
        <v>295</v>
      </c>
      <c r="C154" s="25" t="s">
        <v>296</v>
      </c>
      <c r="D154" s="30">
        <v>-255250250</v>
      </c>
      <c r="E154" s="292"/>
      <c r="F154" s="417"/>
      <c r="G154" t="str">
        <f>HEX2BIN(MID($C154,2,2),8)</f>
        <v>11111111</v>
      </c>
      <c r="H154" t="str">
        <f>HEX2BIN(MID($C154,4,2),8)</f>
        <v>11111010</v>
      </c>
      <c r="I154" t="str">
        <f>HEX2BIN(MID($C154,6,2),8)</f>
        <v>11111010</v>
      </c>
      <c r="K154" t="str">
        <f>LEFT(G154,5)</f>
        <v>11111</v>
      </c>
      <c r="L154" t="str">
        <f>LEFT(H154,6)</f>
        <v>111110</v>
      </c>
      <c r="M154" t="str">
        <f>LEFT(I154,5)</f>
        <v>11111</v>
      </c>
      <c r="O154">
        <f>BIN2DEC(K154)</f>
        <v>31</v>
      </c>
      <c r="P154">
        <f>BIN2DEC(L154)</f>
        <v>62</v>
      </c>
      <c r="Q154">
        <f>BIN2DEC(M154)</f>
        <v>31</v>
      </c>
      <c r="S154">
        <f>O154*2048</f>
        <v>63488</v>
      </c>
      <c r="T154">
        <f>P154*32</f>
        <v>1984</v>
      </c>
      <c r="U154">
        <f>Q154</f>
        <v>31</v>
      </c>
      <c r="V154">
        <f>S154+T154+U154</f>
        <v>65503</v>
      </c>
      <c r="X154" t="str">
        <f t="shared" si="42"/>
        <v>#define SNOW NEW_COLOR(31,62,31)</v>
      </c>
    </row>
    <row r="155" spans="1:24" ht="15.6" hidden="1" thickBot="1">
      <c r="A155" s="158"/>
      <c r="B155" s="25" t="s">
        <v>289</v>
      </c>
      <c r="C155" s="25" t="s">
        <v>290</v>
      </c>
      <c r="D155" s="30">
        <v>-240255240</v>
      </c>
      <c r="E155" s="293"/>
      <c r="F155" s="418"/>
      <c r="G155" t="str">
        <f t="shared" si="35"/>
        <v>11110000</v>
      </c>
      <c r="H155" t="str">
        <f t="shared" si="36"/>
        <v>11111111</v>
      </c>
      <c r="I155" t="str">
        <f t="shared" si="37"/>
        <v>11110000</v>
      </c>
      <c r="K155" t="str">
        <f t="shared" si="43"/>
        <v>11110</v>
      </c>
      <c r="L155" t="str">
        <f t="shared" si="44"/>
        <v>111111</v>
      </c>
      <c r="M155" t="str">
        <f t="shared" si="45"/>
        <v>11110</v>
      </c>
      <c r="O155">
        <f t="shared" si="46"/>
        <v>30</v>
      </c>
      <c r="P155">
        <f t="shared" si="47"/>
        <v>63</v>
      </c>
      <c r="Q155">
        <f t="shared" si="48"/>
        <v>30</v>
      </c>
      <c r="S155">
        <f t="shared" si="38"/>
        <v>61440</v>
      </c>
      <c r="T155">
        <f t="shared" si="39"/>
        <v>2016</v>
      </c>
      <c r="U155">
        <f t="shared" si="40"/>
        <v>30</v>
      </c>
      <c r="V155">
        <f t="shared" si="41"/>
        <v>63486</v>
      </c>
      <c r="X155" t="str">
        <f t="shared" si="42"/>
        <v>#define HONEYDEW NEW_COLOR(30,63,30)</v>
      </c>
    </row>
    <row r="156" spans="1:24" ht="15.6" hidden="1" thickBot="1">
      <c r="A156" s="159"/>
      <c r="B156" s="25" t="s">
        <v>291</v>
      </c>
      <c r="C156" s="25" t="s">
        <v>292</v>
      </c>
      <c r="D156" s="30">
        <v>-255255240</v>
      </c>
      <c r="E156" s="294"/>
      <c r="F156" s="419"/>
      <c r="G156" t="str">
        <f t="shared" si="35"/>
        <v>11111111</v>
      </c>
      <c r="H156" t="str">
        <f t="shared" si="36"/>
        <v>11111111</v>
      </c>
      <c r="I156" t="str">
        <f t="shared" si="37"/>
        <v>11110000</v>
      </c>
      <c r="K156" t="str">
        <f t="shared" si="43"/>
        <v>11111</v>
      </c>
      <c r="L156" t="str">
        <f t="shared" si="44"/>
        <v>111111</v>
      </c>
      <c r="M156" t="str">
        <f t="shared" si="45"/>
        <v>11110</v>
      </c>
      <c r="O156">
        <f t="shared" si="46"/>
        <v>31</v>
      </c>
      <c r="P156">
        <f t="shared" si="47"/>
        <v>63</v>
      </c>
      <c r="Q156">
        <f t="shared" si="48"/>
        <v>30</v>
      </c>
      <c r="S156">
        <f t="shared" si="38"/>
        <v>63488</v>
      </c>
      <c r="T156">
        <f t="shared" si="39"/>
        <v>2016</v>
      </c>
      <c r="U156">
        <f t="shared" si="40"/>
        <v>30</v>
      </c>
      <c r="V156">
        <f t="shared" si="41"/>
        <v>65534</v>
      </c>
      <c r="X156" t="str">
        <f t="shared" ref="X156:X165" si="49">"#define " &amp;UPPER(B156)&amp;" NEW_COLOR("&amp;O156&amp;","&amp;P156&amp;","&amp;Q156&amp;")"</f>
        <v>#define IVORY NEW_COLOR(31,63,30)</v>
      </c>
    </row>
    <row r="157" spans="1:24" ht="15.6" thickBot="1">
      <c r="A157" s="28"/>
      <c r="B157" s="25" t="s">
        <v>39</v>
      </c>
      <c r="C157" s="25" t="s">
        <v>70</v>
      </c>
      <c r="D157" s="25" t="s">
        <v>71</v>
      </c>
      <c r="E157" s="295"/>
      <c r="F157" s="295"/>
      <c r="G157" t="str">
        <f t="shared" ref="G157:G165" si="50">HEX2BIN(MID($C157,2,2),8)</f>
        <v>00000000</v>
      </c>
      <c r="H157" t="str">
        <f t="shared" ref="H157:H165" si="51">HEX2BIN(MID($C157,4,2),8)</f>
        <v>00000000</v>
      </c>
      <c r="I157" t="str">
        <f t="shared" ref="I157:I165" si="52">HEX2BIN(MID($C157,6,2),8)</f>
        <v>00000000</v>
      </c>
      <c r="K157" t="str">
        <f t="shared" si="43"/>
        <v>00000</v>
      </c>
      <c r="L157" t="str">
        <f t="shared" si="44"/>
        <v>000000</v>
      </c>
      <c r="M157" t="str">
        <f t="shared" si="45"/>
        <v>00000</v>
      </c>
      <c r="O157">
        <f t="shared" si="46"/>
        <v>0</v>
      </c>
      <c r="P157">
        <f t="shared" si="47"/>
        <v>0</v>
      </c>
      <c r="Q157">
        <f t="shared" si="48"/>
        <v>0</v>
      </c>
      <c r="S157">
        <f t="shared" ref="S157:S165" si="53">O157*2048</f>
        <v>0</v>
      </c>
      <c r="T157">
        <f t="shared" ref="T157:T165" si="54">P157*32</f>
        <v>0</v>
      </c>
      <c r="U157">
        <f t="shared" ref="U157:U165" si="55">Q157</f>
        <v>0</v>
      </c>
      <c r="V157">
        <f t="shared" ref="V157:V165" si="56">S157+T157+U157</f>
        <v>0</v>
      </c>
      <c r="X157" t="str">
        <f t="shared" si="49"/>
        <v>#define BLACK NEW_COLOR(0,0,0)</v>
      </c>
    </row>
    <row r="158" spans="1:24" ht="15.6" hidden="1" thickBot="1">
      <c r="A158" s="162"/>
      <c r="B158" s="25" t="s">
        <v>388</v>
      </c>
      <c r="C158" s="25" t="s">
        <v>297</v>
      </c>
      <c r="D158" s="30">
        <v>-105105105</v>
      </c>
      <c r="E158" s="296"/>
      <c r="F158" s="420"/>
      <c r="G158" t="str">
        <f t="shared" si="50"/>
        <v>01101001</v>
      </c>
      <c r="H158" t="str">
        <f t="shared" si="51"/>
        <v>01101001</v>
      </c>
      <c r="I158" t="str">
        <f t="shared" si="52"/>
        <v>01101001</v>
      </c>
      <c r="K158" t="str">
        <f t="shared" si="43"/>
        <v>01101</v>
      </c>
      <c r="L158" t="str">
        <f t="shared" si="44"/>
        <v>011010</v>
      </c>
      <c r="M158" t="str">
        <f t="shared" si="45"/>
        <v>01101</v>
      </c>
      <c r="O158">
        <f t="shared" si="46"/>
        <v>13</v>
      </c>
      <c r="P158">
        <f t="shared" si="47"/>
        <v>26</v>
      </c>
      <c r="Q158">
        <f t="shared" si="48"/>
        <v>13</v>
      </c>
      <c r="S158">
        <f t="shared" si="53"/>
        <v>26624</v>
      </c>
      <c r="T158">
        <f t="shared" si="54"/>
        <v>832</v>
      </c>
      <c r="U158">
        <f t="shared" si="55"/>
        <v>13</v>
      </c>
      <c r="V158">
        <f t="shared" si="56"/>
        <v>27469</v>
      </c>
      <c r="X158" t="str">
        <f t="shared" si="49"/>
        <v>#define DIM_GRAY NEW_COLOR(13,26,13)</v>
      </c>
    </row>
    <row r="159" spans="1:24" ht="15.6" hidden="1" thickBot="1">
      <c r="A159" s="38"/>
      <c r="B159" s="25" t="s">
        <v>389</v>
      </c>
      <c r="C159" s="25" t="s">
        <v>86</v>
      </c>
      <c r="D159" s="30">
        <v>-128128128</v>
      </c>
      <c r="E159" s="297"/>
      <c r="F159" s="297"/>
      <c r="G159" t="str">
        <f t="shared" si="50"/>
        <v>10000000</v>
      </c>
      <c r="H159" t="str">
        <f t="shared" si="51"/>
        <v>10000000</v>
      </c>
      <c r="I159" t="str">
        <f t="shared" si="52"/>
        <v>10000000</v>
      </c>
      <c r="K159" t="str">
        <f t="shared" si="43"/>
        <v>10000</v>
      </c>
      <c r="L159" t="str">
        <f t="shared" si="44"/>
        <v>100000</v>
      </c>
      <c r="M159" t="str">
        <f t="shared" si="45"/>
        <v>10000</v>
      </c>
      <c r="O159">
        <f t="shared" si="46"/>
        <v>16</v>
      </c>
      <c r="P159">
        <f t="shared" si="47"/>
        <v>32</v>
      </c>
      <c r="Q159">
        <f t="shared" si="48"/>
        <v>16</v>
      </c>
      <c r="S159">
        <f t="shared" si="53"/>
        <v>32768</v>
      </c>
      <c r="T159">
        <f t="shared" si="54"/>
        <v>1024</v>
      </c>
      <c r="U159">
        <f t="shared" si="55"/>
        <v>16</v>
      </c>
      <c r="V159">
        <f t="shared" si="56"/>
        <v>33808</v>
      </c>
      <c r="X159" t="str">
        <f t="shared" si="49"/>
        <v>#define GRAY NEW_COLOR(16,32,16)</v>
      </c>
    </row>
    <row r="160" spans="1:24" ht="15.6" hidden="1" thickBot="1">
      <c r="A160" s="163"/>
      <c r="B160" s="25" t="s">
        <v>390</v>
      </c>
      <c r="C160" s="25" t="s">
        <v>298</v>
      </c>
      <c r="D160" s="30">
        <v>-169169169</v>
      </c>
      <c r="E160" s="298"/>
      <c r="F160" s="421"/>
      <c r="G160" t="str">
        <f t="shared" si="50"/>
        <v>10101001</v>
      </c>
      <c r="H160" t="str">
        <f t="shared" si="51"/>
        <v>10101001</v>
      </c>
      <c r="I160" t="str">
        <f t="shared" si="52"/>
        <v>10101001</v>
      </c>
      <c r="K160" t="str">
        <f t="shared" si="43"/>
        <v>10101</v>
      </c>
      <c r="L160" t="str">
        <f t="shared" si="44"/>
        <v>101010</v>
      </c>
      <c r="M160" t="str">
        <f t="shared" si="45"/>
        <v>10101</v>
      </c>
      <c r="O160">
        <f t="shared" si="46"/>
        <v>21</v>
      </c>
      <c r="P160">
        <f t="shared" si="47"/>
        <v>42</v>
      </c>
      <c r="Q160">
        <f t="shared" si="48"/>
        <v>21</v>
      </c>
      <c r="S160">
        <f t="shared" si="53"/>
        <v>43008</v>
      </c>
      <c r="T160">
        <f t="shared" si="54"/>
        <v>1344</v>
      </c>
      <c r="U160">
        <f t="shared" si="55"/>
        <v>21</v>
      </c>
      <c r="V160">
        <f t="shared" si="56"/>
        <v>44373</v>
      </c>
      <c r="X160" t="str">
        <f t="shared" si="49"/>
        <v>#define DARK_GRAY NEW_COLOR(21,42,21)</v>
      </c>
    </row>
    <row r="161" spans="1:24" ht="15.6" hidden="1" thickBot="1">
      <c r="A161" s="37"/>
      <c r="B161" s="25" t="s">
        <v>299</v>
      </c>
      <c r="C161" s="25" t="s">
        <v>85</v>
      </c>
      <c r="D161" s="30">
        <v>-192192192</v>
      </c>
      <c r="E161" s="299"/>
      <c r="F161" s="299"/>
      <c r="G161" t="str">
        <f t="shared" si="50"/>
        <v>11000000</v>
      </c>
      <c r="H161" t="str">
        <f t="shared" si="51"/>
        <v>11000000</v>
      </c>
      <c r="I161" t="str">
        <f t="shared" si="52"/>
        <v>11000000</v>
      </c>
      <c r="K161" t="str">
        <f t="shared" si="43"/>
        <v>11000</v>
      </c>
      <c r="L161" t="str">
        <f t="shared" si="44"/>
        <v>110000</v>
      </c>
      <c r="M161" t="str">
        <f t="shared" si="45"/>
        <v>11000</v>
      </c>
      <c r="O161">
        <f t="shared" si="46"/>
        <v>24</v>
      </c>
      <c r="P161">
        <f t="shared" si="47"/>
        <v>48</v>
      </c>
      <c r="Q161">
        <f t="shared" si="48"/>
        <v>24</v>
      </c>
      <c r="S161">
        <f t="shared" si="53"/>
        <v>49152</v>
      </c>
      <c r="T161">
        <f t="shared" si="54"/>
        <v>1536</v>
      </c>
      <c r="U161">
        <f t="shared" si="55"/>
        <v>24</v>
      </c>
      <c r="V161">
        <f t="shared" si="56"/>
        <v>50712</v>
      </c>
      <c r="X161" t="str">
        <f t="shared" si="49"/>
        <v>#define SILVER NEW_COLOR(24,48,24)</v>
      </c>
    </row>
    <row r="162" spans="1:24" ht="15.6" hidden="1" thickBot="1">
      <c r="A162" s="164"/>
      <c r="B162" s="25" t="s">
        <v>391</v>
      </c>
      <c r="C162" s="25" t="s">
        <v>300</v>
      </c>
      <c r="D162" s="30">
        <v>-211211211</v>
      </c>
      <c r="E162" s="300"/>
      <c r="F162" s="422"/>
      <c r="G162" t="str">
        <f t="shared" si="50"/>
        <v>11010011</v>
      </c>
      <c r="H162" t="str">
        <f t="shared" si="51"/>
        <v>11010011</v>
      </c>
      <c r="I162" t="str">
        <f t="shared" si="52"/>
        <v>11010011</v>
      </c>
      <c r="K162" t="str">
        <f t="shared" si="43"/>
        <v>11010</v>
      </c>
      <c r="L162" t="str">
        <f t="shared" si="44"/>
        <v>110100</v>
      </c>
      <c r="M162" t="str">
        <f t="shared" si="45"/>
        <v>11010</v>
      </c>
      <c r="O162">
        <f t="shared" si="46"/>
        <v>26</v>
      </c>
      <c r="P162">
        <f t="shared" si="47"/>
        <v>52</v>
      </c>
      <c r="Q162">
        <f t="shared" si="48"/>
        <v>26</v>
      </c>
      <c r="S162">
        <f t="shared" si="53"/>
        <v>53248</v>
      </c>
      <c r="T162">
        <f t="shared" si="54"/>
        <v>1664</v>
      </c>
      <c r="U162">
        <f t="shared" si="55"/>
        <v>26</v>
      </c>
      <c r="V162">
        <f t="shared" si="56"/>
        <v>54938</v>
      </c>
      <c r="X162" t="str">
        <f t="shared" si="49"/>
        <v>#define LIGHT_GRAY NEW_COLOR(26,52,26)</v>
      </c>
    </row>
    <row r="163" spans="1:24" ht="15.6" hidden="1" thickBot="1">
      <c r="A163" s="165"/>
      <c r="B163" s="25" t="s">
        <v>301</v>
      </c>
      <c r="C163" s="25" t="s">
        <v>302</v>
      </c>
      <c r="D163" s="30">
        <v>-220220220</v>
      </c>
      <c r="E163" s="301"/>
      <c r="F163" s="423"/>
      <c r="G163" t="str">
        <f t="shared" si="50"/>
        <v>11011100</v>
      </c>
      <c r="H163" t="str">
        <f t="shared" si="51"/>
        <v>11011100</v>
      </c>
      <c r="I163" t="str">
        <f t="shared" si="52"/>
        <v>11011100</v>
      </c>
      <c r="K163" t="str">
        <f t="shared" si="43"/>
        <v>11011</v>
      </c>
      <c r="L163" t="str">
        <f t="shared" si="44"/>
        <v>110111</v>
      </c>
      <c r="M163" t="str">
        <f t="shared" si="45"/>
        <v>11011</v>
      </c>
      <c r="O163">
        <f t="shared" si="46"/>
        <v>27</v>
      </c>
      <c r="P163">
        <f t="shared" si="47"/>
        <v>55</v>
      </c>
      <c r="Q163">
        <f t="shared" si="48"/>
        <v>27</v>
      </c>
      <c r="S163">
        <f t="shared" si="53"/>
        <v>55296</v>
      </c>
      <c r="T163">
        <f t="shared" si="54"/>
        <v>1760</v>
      </c>
      <c r="U163">
        <f t="shared" si="55"/>
        <v>27</v>
      </c>
      <c r="V163">
        <f t="shared" si="56"/>
        <v>57083</v>
      </c>
      <c r="X163" t="str">
        <f t="shared" si="49"/>
        <v>#define GAINSBORO NEW_COLOR(27,55,27)</v>
      </c>
    </row>
    <row r="164" spans="1:24" ht="15.6" hidden="1" thickBot="1">
      <c r="A164" s="166"/>
      <c r="B164" s="25" t="s">
        <v>386</v>
      </c>
      <c r="C164" s="25" t="s">
        <v>303</v>
      </c>
      <c r="D164" s="30">
        <v>-245245245</v>
      </c>
      <c r="E164" s="302"/>
      <c r="F164" s="424"/>
      <c r="G164" t="str">
        <f t="shared" si="50"/>
        <v>11110101</v>
      </c>
      <c r="H164" t="str">
        <f t="shared" si="51"/>
        <v>11110101</v>
      </c>
      <c r="I164" t="str">
        <f t="shared" si="52"/>
        <v>11110101</v>
      </c>
      <c r="K164" t="str">
        <f t="shared" si="43"/>
        <v>11110</v>
      </c>
      <c r="L164" t="str">
        <f t="shared" si="44"/>
        <v>111101</v>
      </c>
      <c r="M164" t="str">
        <f t="shared" si="45"/>
        <v>11110</v>
      </c>
      <c r="O164">
        <f t="shared" si="46"/>
        <v>30</v>
      </c>
      <c r="P164">
        <f t="shared" si="47"/>
        <v>61</v>
      </c>
      <c r="Q164">
        <f t="shared" si="48"/>
        <v>30</v>
      </c>
      <c r="S164">
        <f t="shared" si="53"/>
        <v>61440</v>
      </c>
      <c r="T164">
        <f t="shared" si="54"/>
        <v>1952</v>
      </c>
      <c r="U164">
        <f t="shared" si="55"/>
        <v>30</v>
      </c>
      <c r="V164">
        <f t="shared" si="56"/>
        <v>63422</v>
      </c>
      <c r="X164" t="str">
        <f t="shared" si="49"/>
        <v>#define WHITE_SMOKE NEW_COLOR(30,61,30)</v>
      </c>
    </row>
    <row r="165" spans="1:24" ht="15.6" hidden="1" thickBot="1">
      <c r="A165" s="29"/>
      <c r="B165" s="25" t="s">
        <v>60</v>
      </c>
      <c r="C165" s="25" t="s">
        <v>72</v>
      </c>
      <c r="D165" s="30">
        <v>-255255255</v>
      </c>
      <c r="E165" s="303"/>
      <c r="F165" s="425"/>
      <c r="G165" t="str">
        <f t="shared" si="50"/>
        <v>11111111</v>
      </c>
      <c r="H165" t="str">
        <f t="shared" si="51"/>
        <v>11111111</v>
      </c>
      <c r="I165" t="str">
        <f t="shared" si="52"/>
        <v>11111111</v>
      </c>
      <c r="K165" t="str">
        <f t="shared" si="43"/>
        <v>11111</v>
      </c>
      <c r="L165" t="str">
        <f t="shared" si="44"/>
        <v>111111</v>
      </c>
      <c r="M165" t="str">
        <f t="shared" si="45"/>
        <v>11111</v>
      </c>
      <c r="O165">
        <f t="shared" si="46"/>
        <v>31</v>
      </c>
      <c r="P165">
        <f t="shared" si="47"/>
        <v>63</v>
      </c>
      <c r="Q165">
        <f t="shared" si="48"/>
        <v>31</v>
      </c>
      <c r="S165">
        <f t="shared" si="53"/>
        <v>63488</v>
      </c>
      <c r="T165">
        <f t="shared" si="54"/>
        <v>2016</v>
      </c>
      <c r="U165">
        <f t="shared" si="55"/>
        <v>31</v>
      </c>
      <c r="V165">
        <f t="shared" si="56"/>
        <v>65535</v>
      </c>
      <c r="X165" t="str">
        <f t="shared" si="49"/>
        <v>#define WHITE NEW_COLOR(31,63,31)</v>
      </c>
    </row>
  </sheetData>
  <autoFilter ref="A25:X165" xr:uid="{00000000-0001-0000-0100-000000000000}">
    <filterColumn colId="14">
      <customFilters>
        <customFilter operator="lessThan" val="4"/>
      </customFilters>
    </filterColumn>
    <filterColumn colId="15">
      <customFilters>
        <customFilter operator="lessThan" val="16"/>
      </customFilters>
    </filterColumn>
  </autoFilter>
  <mergeCells count="6">
    <mergeCell ref="O1:Q1"/>
    <mergeCell ref="A25:A26"/>
    <mergeCell ref="B25:B26"/>
    <mergeCell ref="K1:M1"/>
    <mergeCell ref="G1:I1"/>
    <mergeCell ref="C1:E1"/>
  </mergeCells>
  <conditionalFormatting sqref="C24:C165">
    <cfRule type="duplicateValues" dxfId="1" priority="5"/>
  </conditionalFormatting>
  <conditionalFormatting sqref="V2:V165">
    <cfRule type="duplicateValues" dxfId="0" priority="10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ntrol 3">
          <controlPr defaultSize="0" r:id="rId5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495300</xdr:colOff>
                <xdr:row>24</xdr:row>
                <xdr:rowOff>30480</xdr:rowOff>
              </to>
            </anchor>
          </controlPr>
        </control>
      </mc:Choice>
      <mc:Fallback>
        <control shapeId="2051" r:id="rId4" name="Control 3"/>
      </mc:Fallback>
    </mc:AlternateContent>
    <mc:AlternateContent xmlns:mc="http://schemas.openxmlformats.org/markup-compatibility/2006">
      <mc:Choice Requires="x14">
        <control shapeId="2052" r:id="rId6" name="Control 4">
          <controlPr defaultSize="0" r:id="rId5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495300</xdr:colOff>
                <xdr:row>24</xdr:row>
                <xdr:rowOff>30480</xdr:rowOff>
              </to>
            </anchor>
          </controlPr>
        </control>
      </mc:Choice>
      <mc:Fallback>
        <control shapeId="2052" r:id="rId6" name="Control 4"/>
      </mc:Fallback>
    </mc:AlternateContent>
    <mc:AlternateContent xmlns:mc="http://schemas.openxmlformats.org/markup-compatibility/2006">
      <mc:Choice Requires="x14">
        <control shapeId="2053" r:id="rId7" name="Control 5">
          <controlPr defaultSize="0" r:id="rId5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495300</xdr:colOff>
                <xdr:row>24</xdr:row>
                <xdr:rowOff>30480</xdr:rowOff>
              </to>
            </anchor>
          </controlPr>
        </control>
      </mc:Choice>
      <mc:Fallback>
        <control shapeId="2053" r:id="rId7" name="Control 5"/>
      </mc:Fallback>
    </mc:AlternateContent>
    <mc:AlternateContent xmlns:mc="http://schemas.openxmlformats.org/markup-compatibility/2006">
      <mc:Choice Requires="x14">
        <control shapeId="2054" r:id="rId8" name="Control 6">
          <controlPr defaultSize="0" r:id="rId5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495300</xdr:colOff>
                <xdr:row>24</xdr:row>
                <xdr:rowOff>30480</xdr:rowOff>
              </to>
            </anchor>
          </controlPr>
        </control>
      </mc:Choice>
      <mc:Fallback>
        <control shapeId="2054" r:id="rId8" name="Control 6"/>
      </mc:Fallback>
    </mc:AlternateContent>
    <mc:AlternateContent xmlns:mc="http://schemas.openxmlformats.org/markup-compatibility/2006">
      <mc:Choice Requires="x14">
        <control shapeId="2055" r:id="rId9" name="Control 7">
          <controlPr defaultSize="0" r:id="rId5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495300</xdr:colOff>
                <xdr:row>24</xdr:row>
                <xdr:rowOff>30480</xdr:rowOff>
              </to>
            </anchor>
          </controlPr>
        </control>
      </mc:Choice>
      <mc:Fallback>
        <control shapeId="2055" r:id="rId9" name="Control 7"/>
      </mc:Fallback>
    </mc:AlternateContent>
    <mc:AlternateContent xmlns:mc="http://schemas.openxmlformats.org/markup-compatibility/2006">
      <mc:Choice Requires="x14">
        <control shapeId="2056" r:id="rId10" name="Control 8">
          <controlPr defaultSize="0" r:id="rId5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495300</xdr:colOff>
                <xdr:row>24</xdr:row>
                <xdr:rowOff>30480</xdr:rowOff>
              </to>
            </anchor>
          </controlPr>
        </control>
      </mc:Choice>
      <mc:Fallback>
        <control shapeId="2056" r:id="rId10" name="Control 8"/>
      </mc:Fallback>
    </mc:AlternateContent>
    <mc:AlternateContent xmlns:mc="http://schemas.openxmlformats.org/markup-compatibility/2006">
      <mc:Choice Requires="x14">
        <control shapeId="2057" r:id="rId11" name="Control 9">
          <controlPr defaultSize="0" r:id="rId12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670560</xdr:colOff>
                <xdr:row>24</xdr:row>
                <xdr:rowOff>30480</xdr:rowOff>
              </to>
            </anchor>
          </controlPr>
        </control>
      </mc:Choice>
      <mc:Fallback>
        <control shapeId="2057" r:id="rId11" name="Control 9"/>
      </mc:Fallback>
    </mc:AlternateContent>
    <mc:AlternateContent xmlns:mc="http://schemas.openxmlformats.org/markup-compatibility/2006">
      <mc:Choice Requires="x14">
        <control shapeId="2058" r:id="rId13" name="Control 10">
          <controlPr defaultSize="0" r:id="rId14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1</xdr:col>
                <xdr:colOff>914400</xdr:colOff>
                <xdr:row>24</xdr:row>
                <xdr:rowOff>30480</xdr:rowOff>
              </to>
            </anchor>
          </controlPr>
        </control>
      </mc:Choice>
      <mc:Fallback>
        <control shapeId="2058" r:id="rId13" name="Control 10"/>
      </mc:Fallback>
    </mc:AlternateContent>
    <mc:AlternateContent xmlns:mc="http://schemas.openxmlformats.org/markup-compatibility/2006">
      <mc:Choice Requires="x14">
        <control shapeId="2059" r:id="rId15" name="Control 11">
          <controlPr defaultSize="0" r:id="rId14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1</xdr:col>
                <xdr:colOff>914400</xdr:colOff>
                <xdr:row>24</xdr:row>
                <xdr:rowOff>30480</xdr:rowOff>
              </to>
            </anchor>
          </controlPr>
        </control>
      </mc:Choice>
      <mc:Fallback>
        <control shapeId="2059" r:id="rId15" name="Control 11"/>
      </mc:Fallback>
    </mc:AlternateContent>
    <mc:AlternateContent xmlns:mc="http://schemas.openxmlformats.org/markup-compatibility/2006">
      <mc:Choice Requires="x14">
        <control shapeId="2060" r:id="rId16" name="Control 12">
          <controlPr defaultSize="0" r:id="rId14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1</xdr:col>
                <xdr:colOff>914400</xdr:colOff>
                <xdr:row>24</xdr:row>
                <xdr:rowOff>30480</xdr:rowOff>
              </to>
            </anchor>
          </controlPr>
        </control>
      </mc:Choice>
      <mc:Fallback>
        <control shapeId="2060" r:id="rId16" name="Control 12"/>
      </mc:Fallback>
    </mc:AlternateContent>
    <mc:AlternateContent xmlns:mc="http://schemas.openxmlformats.org/markup-compatibility/2006">
      <mc:Choice Requires="x14">
        <control shapeId="2061" r:id="rId17" name="Control 13">
          <controlPr defaultSize="0" r:id="rId14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1</xdr:col>
                <xdr:colOff>914400</xdr:colOff>
                <xdr:row>24</xdr:row>
                <xdr:rowOff>30480</xdr:rowOff>
              </to>
            </anchor>
          </controlPr>
        </control>
      </mc:Choice>
      <mc:Fallback>
        <control shapeId="2061" r:id="rId17" name="Control 1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14</vt:i4>
      </vt:variant>
    </vt:vector>
  </HeadingPairs>
  <TitlesOfParts>
    <vt:vector size="16" baseType="lpstr">
      <vt:lpstr>Sheet1</vt:lpstr>
      <vt:lpstr>Color</vt:lpstr>
      <vt:lpstr>Az_Beam_Width</vt:lpstr>
      <vt:lpstr>Duty_Cycle</vt:lpstr>
      <vt:lpstr>Jamming_Pulse_Density</vt:lpstr>
      <vt:lpstr>NFT</vt:lpstr>
      <vt:lpstr>NPI</vt:lpstr>
      <vt:lpstr>NPI_AFSIM</vt:lpstr>
      <vt:lpstr>NPI_Calc</vt:lpstr>
      <vt:lpstr>PRF</vt:lpstr>
      <vt:lpstr>PRI</vt:lpstr>
      <vt:lpstr>Pulses_Scan</vt:lpstr>
      <vt:lpstr>PW</vt:lpstr>
      <vt:lpstr>Round</vt:lpstr>
      <vt:lpstr>Scan_Rate</vt:lpstr>
      <vt:lpstr>Scan_Time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Limber, Joe</dc:creator>
  <cp:lastModifiedBy>Joe Limber</cp:lastModifiedBy>
  <dcterms:created xsi:type="dcterms:W3CDTF">2023-03-02T17:15:41Z</dcterms:created>
  <dcterms:modified xsi:type="dcterms:W3CDTF">2023-03-06T03:40:42Z</dcterms:modified>
</cp:coreProperties>
</file>